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42254696c3c84625/Documents/"/>
    </mc:Choice>
  </mc:AlternateContent>
  <xr:revisionPtr revIDLastSave="133" documentId="8_{A7F23116-5C0B-40A5-BA5B-FE1C95ED78D8}" xr6:coauthVersionLast="47" xr6:coauthVersionMax="47" xr10:uidLastSave="{82672749-8DF9-41C8-814E-9A72270A12FE}"/>
  <bookViews>
    <workbookView xWindow="1245" yWindow="240" windowWidth="26430" windowHeight="15060" activeTab="6" xr2:uid="{00000000-000D-0000-FFFF-FFFF00000000}"/>
  </bookViews>
  <sheets>
    <sheet name="Data Entry" sheetId="1" r:id="rId1"/>
    <sheet name="Dashboard" sheetId="2" r:id="rId2"/>
    <sheet name="Monthly Stats" sheetId="3" r:id="rId3"/>
    <sheet name="Venue Analysis" sheetId="4" r:id="rId4"/>
    <sheet name="Age Analysis" sheetId="5" r:id="rId5"/>
    <sheet name="Injury Analysis" sheetId="6" r:id="rId6"/>
    <sheet name="Mechanism Analysis" sheetId="7" r:id="rId7"/>
    <sheet name="Time Analysis" sheetId="8" r:id="rId8"/>
    <sheet name="Lis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K4" i="1"/>
  <c r="L4" i="1"/>
  <c r="M4" i="1"/>
  <c r="N4" i="1"/>
  <c r="O4" i="1"/>
  <c r="P4" i="1"/>
  <c r="K5" i="1"/>
  <c r="L5" i="1"/>
  <c r="M5" i="1"/>
  <c r="N5" i="1"/>
  <c r="O5" i="1"/>
  <c r="P5" i="1"/>
  <c r="K6" i="1"/>
  <c r="L6" i="1"/>
  <c r="M6" i="1"/>
  <c r="N6" i="1"/>
  <c r="O6" i="1"/>
  <c r="P6" i="1"/>
  <c r="K7" i="1"/>
  <c r="L7" i="1"/>
  <c r="M7" i="1"/>
  <c r="N7" i="1"/>
  <c r="O7" i="1"/>
  <c r="P7" i="1"/>
  <c r="K8" i="1"/>
  <c r="L8" i="1"/>
  <c r="M8" i="1"/>
  <c r="N8" i="1"/>
  <c r="O8" i="1"/>
  <c r="P8" i="1"/>
  <c r="K9" i="1"/>
  <c r="L9" i="1"/>
  <c r="M9" i="1"/>
  <c r="N9" i="1"/>
  <c r="O9" i="1"/>
  <c r="P9" i="1"/>
  <c r="K10" i="1"/>
  <c r="L10" i="1"/>
  <c r="M10" i="1"/>
  <c r="N10" i="1"/>
  <c r="O10" i="1"/>
  <c r="P10" i="1"/>
  <c r="K11" i="1"/>
  <c r="L11" i="1"/>
  <c r="M11" i="1"/>
  <c r="N11" i="1"/>
  <c r="O11" i="1"/>
  <c r="P11" i="1"/>
  <c r="K12" i="1"/>
  <c r="L12" i="1"/>
  <c r="M12" i="1"/>
  <c r="N12" i="1"/>
  <c r="O12" i="1"/>
  <c r="P12" i="1"/>
  <c r="K13" i="1"/>
  <c r="L13" i="1"/>
  <c r="M13" i="1"/>
  <c r="N13" i="1"/>
  <c r="O13" i="1"/>
  <c r="P13" i="1"/>
  <c r="K14" i="1"/>
  <c r="L14" i="1"/>
  <c r="M14" i="1"/>
  <c r="N14" i="1"/>
  <c r="O14" i="1"/>
  <c r="P14" i="1"/>
  <c r="K15" i="1"/>
  <c r="L15" i="1"/>
  <c r="M15" i="1"/>
  <c r="N15" i="1"/>
  <c r="O15" i="1"/>
  <c r="P15" i="1"/>
  <c r="K16" i="1"/>
  <c r="L16" i="1"/>
  <c r="M16" i="1"/>
  <c r="N16" i="1"/>
  <c r="O16" i="1"/>
  <c r="P16" i="1"/>
  <c r="K17" i="1"/>
  <c r="L17" i="1"/>
  <c r="M17" i="1"/>
  <c r="N17" i="1"/>
  <c r="O17" i="1"/>
  <c r="P17" i="1"/>
  <c r="K18" i="1"/>
  <c r="L18" i="1"/>
  <c r="M18" i="1"/>
  <c r="N18" i="1"/>
  <c r="O18" i="1"/>
  <c r="P18" i="1"/>
  <c r="K19" i="1"/>
  <c r="L19" i="1"/>
  <c r="M19" i="1"/>
  <c r="N19" i="1"/>
  <c r="O19" i="1"/>
  <c r="P19" i="1"/>
  <c r="K20" i="1"/>
  <c r="L20" i="1"/>
  <c r="M20" i="1"/>
  <c r="N20" i="1"/>
  <c r="O20" i="1"/>
  <c r="P20" i="1"/>
  <c r="K21" i="1"/>
  <c r="L21" i="1"/>
  <c r="M21" i="1"/>
  <c r="N21" i="1"/>
  <c r="O21" i="1"/>
  <c r="P21" i="1"/>
  <c r="K22" i="1"/>
  <c r="L22" i="1"/>
  <c r="M22" i="1"/>
  <c r="N22" i="1"/>
  <c r="O22" i="1"/>
  <c r="P22" i="1"/>
  <c r="K23" i="1"/>
  <c r="L23" i="1"/>
  <c r="M23" i="1"/>
  <c r="N23" i="1"/>
  <c r="O23" i="1"/>
  <c r="P23" i="1"/>
  <c r="K24" i="1"/>
  <c r="L24" i="1"/>
  <c r="M24" i="1"/>
  <c r="N24" i="1"/>
  <c r="O24" i="1"/>
  <c r="P24" i="1"/>
  <c r="K25" i="1"/>
  <c r="L25" i="1"/>
  <c r="M25" i="1"/>
  <c r="N25" i="1"/>
  <c r="O25" i="1"/>
  <c r="P25" i="1"/>
  <c r="K26" i="1"/>
  <c r="L26" i="1"/>
  <c r="M26" i="1"/>
  <c r="N26" i="1"/>
  <c r="O26" i="1"/>
  <c r="P26" i="1"/>
  <c r="K27" i="1"/>
  <c r="L27" i="1"/>
  <c r="M27" i="1"/>
  <c r="N27" i="1"/>
  <c r="O27" i="1"/>
  <c r="P27" i="1"/>
  <c r="K28" i="1"/>
  <c r="L28" i="1"/>
  <c r="M28" i="1"/>
  <c r="N28" i="1"/>
  <c r="O28" i="1"/>
  <c r="P28" i="1"/>
  <c r="K29" i="1"/>
  <c r="L29" i="1"/>
  <c r="M29" i="1"/>
  <c r="N29" i="1"/>
  <c r="O29" i="1"/>
  <c r="P29" i="1"/>
  <c r="K30" i="1"/>
  <c r="L30" i="1"/>
  <c r="M30" i="1"/>
  <c r="N30" i="1"/>
  <c r="O30" i="1"/>
  <c r="P30" i="1"/>
  <c r="K31" i="1"/>
  <c r="L31" i="1"/>
  <c r="M31" i="1"/>
  <c r="N31" i="1"/>
  <c r="O31" i="1"/>
  <c r="P31" i="1"/>
  <c r="K32" i="1"/>
  <c r="L32" i="1"/>
  <c r="M32" i="1"/>
  <c r="N32" i="1"/>
  <c r="O32" i="1"/>
  <c r="P32" i="1"/>
  <c r="K33" i="1"/>
  <c r="L33" i="1"/>
  <c r="M33" i="1"/>
  <c r="N33" i="1"/>
  <c r="O33" i="1"/>
  <c r="P33" i="1"/>
  <c r="K34" i="1"/>
  <c r="L34" i="1"/>
  <c r="M34" i="1"/>
  <c r="N34" i="1"/>
  <c r="O34" i="1"/>
  <c r="P34" i="1"/>
  <c r="K35" i="1"/>
  <c r="L35" i="1"/>
  <c r="M35" i="1"/>
  <c r="N35" i="1"/>
  <c r="O35" i="1"/>
  <c r="P35" i="1"/>
  <c r="K36" i="1"/>
  <c r="L36" i="1"/>
  <c r="M36" i="1"/>
  <c r="N36" i="1"/>
  <c r="O36" i="1"/>
  <c r="P36" i="1"/>
  <c r="K37" i="1"/>
  <c r="L37" i="1"/>
  <c r="M37" i="1"/>
  <c r="N37" i="1"/>
  <c r="O37" i="1"/>
  <c r="P37" i="1"/>
  <c r="K38" i="1"/>
  <c r="L38" i="1"/>
  <c r="M38" i="1"/>
  <c r="N38" i="1"/>
  <c r="O38" i="1"/>
  <c r="P38" i="1"/>
  <c r="K39" i="1"/>
  <c r="L39" i="1"/>
  <c r="M39" i="1"/>
  <c r="N39" i="1"/>
  <c r="O39" i="1"/>
  <c r="P39" i="1"/>
  <c r="K40" i="1"/>
  <c r="L40" i="1"/>
  <c r="M40" i="1"/>
  <c r="N40" i="1"/>
  <c r="O40" i="1"/>
  <c r="P40" i="1"/>
  <c r="K41" i="1"/>
  <c r="L41" i="1"/>
  <c r="M41" i="1"/>
  <c r="N41" i="1"/>
  <c r="O41" i="1"/>
  <c r="P41" i="1"/>
  <c r="K42" i="1"/>
  <c r="L42" i="1"/>
  <c r="M42" i="1"/>
  <c r="N42" i="1"/>
  <c r="O42" i="1"/>
  <c r="P42" i="1"/>
  <c r="K43" i="1"/>
  <c r="L43" i="1"/>
  <c r="M43" i="1"/>
  <c r="N43" i="1"/>
  <c r="O43" i="1"/>
  <c r="P43" i="1"/>
  <c r="K44" i="1"/>
  <c r="L44" i="1"/>
  <c r="M44" i="1"/>
  <c r="N44" i="1"/>
  <c r="O44" i="1"/>
  <c r="P44" i="1"/>
  <c r="K45" i="1"/>
  <c r="L45" i="1"/>
  <c r="M45" i="1"/>
  <c r="N45" i="1"/>
  <c r="O45" i="1"/>
  <c r="P45" i="1"/>
  <c r="K46" i="1"/>
  <c r="L46" i="1"/>
  <c r="M46" i="1"/>
  <c r="N46" i="1"/>
  <c r="O46" i="1"/>
  <c r="P46" i="1"/>
  <c r="K47" i="1"/>
  <c r="L47" i="1"/>
  <c r="M47" i="1"/>
  <c r="N47" i="1"/>
  <c r="O47" i="1"/>
  <c r="P47" i="1"/>
  <c r="K48" i="1"/>
  <c r="L48" i="1"/>
  <c r="M48" i="1"/>
  <c r="N48" i="1"/>
  <c r="O48" i="1"/>
  <c r="P48" i="1"/>
  <c r="K49" i="1"/>
  <c r="L49" i="1"/>
  <c r="M49" i="1"/>
  <c r="N49" i="1"/>
  <c r="O49" i="1"/>
  <c r="P49" i="1"/>
  <c r="K50" i="1"/>
  <c r="L50" i="1"/>
  <c r="M50" i="1"/>
  <c r="N50" i="1"/>
  <c r="O50" i="1"/>
  <c r="P50" i="1"/>
  <c r="K51" i="1"/>
  <c r="L51" i="1"/>
  <c r="M51" i="1"/>
  <c r="N51" i="1"/>
  <c r="O51" i="1"/>
  <c r="P51" i="1"/>
  <c r="K52" i="1"/>
  <c r="L52" i="1"/>
  <c r="M52" i="1"/>
  <c r="N52" i="1"/>
  <c r="O52" i="1"/>
  <c r="P52" i="1"/>
  <c r="K53" i="1"/>
  <c r="L53" i="1"/>
  <c r="M53" i="1"/>
  <c r="N53" i="1"/>
  <c r="O53" i="1"/>
  <c r="P53" i="1"/>
  <c r="K54" i="1"/>
  <c r="L54" i="1"/>
  <c r="M54" i="1"/>
  <c r="N54" i="1"/>
  <c r="O54" i="1"/>
  <c r="P54" i="1"/>
  <c r="K55" i="1"/>
  <c r="L55" i="1"/>
  <c r="M55" i="1"/>
  <c r="N55" i="1"/>
  <c r="O55" i="1"/>
  <c r="P55" i="1"/>
  <c r="K56" i="1"/>
  <c r="L56" i="1"/>
  <c r="M56" i="1"/>
  <c r="N56" i="1"/>
  <c r="O56" i="1"/>
  <c r="P56" i="1"/>
  <c r="K57" i="1"/>
  <c r="L57" i="1"/>
  <c r="M57" i="1"/>
  <c r="N57" i="1"/>
  <c r="O57" i="1"/>
  <c r="P57" i="1"/>
  <c r="K58" i="1"/>
  <c r="L58" i="1"/>
  <c r="M58" i="1"/>
  <c r="N58" i="1"/>
  <c r="O58" i="1"/>
  <c r="P58" i="1"/>
  <c r="K59" i="1"/>
  <c r="L59" i="1"/>
  <c r="M59" i="1"/>
  <c r="N59" i="1"/>
  <c r="O59" i="1"/>
  <c r="P59" i="1"/>
  <c r="K60" i="1"/>
  <c r="L60" i="1"/>
  <c r="M60" i="1"/>
  <c r="N60" i="1"/>
  <c r="O60" i="1"/>
  <c r="P60" i="1"/>
  <c r="K61" i="1"/>
  <c r="L61" i="1"/>
  <c r="M61" i="1"/>
  <c r="N61" i="1"/>
  <c r="O61" i="1"/>
  <c r="P61" i="1"/>
  <c r="K62" i="1"/>
  <c r="L62" i="1"/>
  <c r="M62" i="1"/>
  <c r="N62" i="1"/>
  <c r="O62" i="1"/>
  <c r="P62" i="1"/>
  <c r="K63" i="1"/>
  <c r="L63" i="1"/>
  <c r="M63" i="1"/>
  <c r="N63" i="1"/>
  <c r="O63" i="1"/>
  <c r="P63" i="1"/>
  <c r="K64" i="1"/>
  <c r="L64" i="1"/>
  <c r="M64" i="1"/>
  <c r="N64" i="1"/>
  <c r="O64" i="1"/>
  <c r="P64" i="1"/>
  <c r="K65" i="1"/>
  <c r="L65" i="1"/>
  <c r="M65" i="1"/>
  <c r="N65" i="1"/>
  <c r="O65" i="1"/>
  <c r="P65" i="1"/>
  <c r="K66" i="1"/>
  <c r="L66" i="1"/>
  <c r="M66" i="1"/>
  <c r="N66" i="1"/>
  <c r="O66" i="1"/>
  <c r="P66" i="1"/>
  <c r="K67" i="1"/>
  <c r="L67" i="1"/>
  <c r="M67" i="1"/>
  <c r="N67" i="1"/>
  <c r="O67" i="1"/>
  <c r="P67" i="1"/>
  <c r="K68" i="1"/>
  <c r="L68" i="1"/>
  <c r="M68" i="1"/>
  <c r="N68" i="1"/>
  <c r="O68" i="1"/>
  <c r="P68" i="1"/>
  <c r="K69" i="1"/>
  <c r="L69" i="1"/>
  <c r="M69" i="1"/>
  <c r="N69" i="1"/>
  <c r="O69" i="1"/>
  <c r="P69" i="1"/>
  <c r="K70" i="1"/>
  <c r="L70" i="1"/>
  <c r="M70" i="1"/>
  <c r="N70" i="1"/>
  <c r="O70" i="1"/>
  <c r="P70" i="1"/>
  <c r="K71" i="1"/>
  <c r="L71" i="1"/>
  <c r="M71" i="1"/>
  <c r="N71" i="1"/>
  <c r="O71" i="1"/>
  <c r="P71" i="1"/>
  <c r="K72" i="1"/>
  <c r="L72" i="1"/>
  <c r="M72" i="1"/>
  <c r="N72" i="1"/>
  <c r="O72" i="1"/>
  <c r="P72" i="1"/>
  <c r="K73" i="1"/>
  <c r="L73" i="1"/>
  <c r="M73" i="1"/>
  <c r="N73" i="1"/>
  <c r="O73" i="1"/>
  <c r="P73" i="1"/>
  <c r="K74" i="1"/>
  <c r="L74" i="1"/>
  <c r="M74" i="1"/>
  <c r="N74" i="1"/>
  <c r="O74" i="1"/>
  <c r="P74" i="1"/>
  <c r="K75" i="1"/>
  <c r="L75" i="1"/>
  <c r="M75" i="1"/>
  <c r="N75" i="1"/>
  <c r="O75" i="1"/>
  <c r="P75" i="1"/>
  <c r="K76" i="1"/>
  <c r="L76" i="1"/>
  <c r="M76" i="1"/>
  <c r="N76" i="1"/>
  <c r="O76" i="1"/>
  <c r="P76" i="1"/>
  <c r="K77" i="1"/>
  <c r="L77" i="1"/>
  <c r="M77" i="1"/>
  <c r="N77" i="1"/>
  <c r="O77" i="1"/>
  <c r="P77" i="1"/>
  <c r="K78" i="1"/>
  <c r="L78" i="1"/>
  <c r="M78" i="1"/>
  <c r="N78" i="1"/>
  <c r="O78" i="1"/>
  <c r="P78" i="1"/>
  <c r="K79" i="1"/>
  <c r="L79" i="1"/>
  <c r="M79" i="1"/>
  <c r="N79" i="1"/>
  <c r="O79" i="1"/>
  <c r="P79" i="1"/>
  <c r="K80" i="1"/>
  <c r="L80" i="1"/>
  <c r="M80" i="1"/>
  <c r="N80" i="1"/>
  <c r="O80" i="1"/>
  <c r="P80" i="1"/>
  <c r="K81" i="1"/>
  <c r="L81" i="1"/>
  <c r="M81" i="1"/>
  <c r="N81" i="1"/>
  <c r="O81" i="1"/>
  <c r="P81" i="1"/>
  <c r="K82" i="1"/>
  <c r="L82" i="1"/>
  <c r="M82" i="1"/>
  <c r="N82" i="1"/>
  <c r="O82" i="1"/>
  <c r="P82" i="1"/>
  <c r="K83" i="1"/>
  <c r="L83" i="1"/>
  <c r="M83" i="1"/>
  <c r="N83" i="1"/>
  <c r="O83" i="1"/>
  <c r="P83" i="1"/>
  <c r="K84" i="1"/>
  <c r="L84" i="1"/>
  <c r="M84" i="1"/>
  <c r="N84" i="1"/>
  <c r="O84" i="1"/>
  <c r="P84" i="1"/>
  <c r="K85" i="1"/>
  <c r="L85" i="1"/>
  <c r="M85" i="1"/>
  <c r="N85" i="1"/>
  <c r="O85" i="1"/>
  <c r="P85" i="1"/>
  <c r="K86" i="1"/>
  <c r="L86" i="1"/>
  <c r="M86" i="1"/>
  <c r="N86" i="1"/>
  <c r="O86" i="1"/>
  <c r="P86" i="1"/>
  <c r="K87" i="1"/>
  <c r="L87" i="1"/>
  <c r="M87" i="1"/>
  <c r="N87" i="1"/>
  <c r="O87" i="1"/>
  <c r="P87" i="1"/>
  <c r="K88" i="1"/>
  <c r="L88" i="1"/>
  <c r="M88" i="1"/>
  <c r="N88" i="1"/>
  <c r="O88" i="1"/>
  <c r="P88" i="1"/>
  <c r="K89" i="1"/>
  <c r="L89" i="1"/>
  <c r="M89" i="1"/>
  <c r="N89" i="1"/>
  <c r="O89" i="1"/>
  <c r="P89" i="1"/>
  <c r="K90" i="1"/>
  <c r="L90" i="1"/>
  <c r="M90" i="1"/>
  <c r="N90" i="1"/>
  <c r="O90" i="1"/>
  <c r="P90" i="1"/>
  <c r="K91" i="1"/>
  <c r="L91" i="1"/>
  <c r="M91" i="1"/>
  <c r="N91" i="1"/>
  <c r="O91" i="1"/>
  <c r="P91" i="1"/>
  <c r="K92" i="1"/>
  <c r="L92" i="1"/>
  <c r="M92" i="1"/>
  <c r="N92" i="1"/>
  <c r="O92" i="1"/>
  <c r="P92" i="1"/>
  <c r="K93" i="1"/>
  <c r="L93" i="1"/>
  <c r="M93" i="1"/>
  <c r="N93" i="1"/>
  <c r="O93" i="1"/>
  <c r="P93" i="1"/>
  <c r="K94" i="1"/>
  <c r="L94" i="1"/>
  <c r="M94" i="1"/>
  <c r="N94" i="1"/>
  <c r="O94" i="1"/>
  <c r="P94" i="1"/>
  <c r="K95" i="1"/>
  <c r="L95" i="1"/>
  <c r="M95" i="1"/>
  <c r="N95" i="1"/>
  <c r="O95" i="1"/>
  <c r="P95" i="1"/>
  <c r="K96" i="1"/>
  <c r="L96" i="1"/>
  <c r="M96" i="1"/>
  <c r="N96" i="1"/>
  <c r="O96" i="1"/>
  <c r="P96" i="1"/>
  <c r="K97" i="1"/>
  <c r="L97" i="1"/>
  <c r="M97" i="1"/>
  <c r="N97" i="1"/>
  <c r="O97" i="1"/>
  <c r="P97" i="1"/>
  <c r="K98" i="1"/>
  <c r="L98" i="1"/>
  <c r="M98" i="1"/>
  <c r="N98" i="1"/>
  <c r="O98" i="1"/>
  <c r="P98" i="1"/>
  <c r="K99" i="1"/>
  <c r="L99" i="1"/>
  <c r="M99" i="1"/>
  <c r="N99" i="1"/>
  <c r="O99" i="1"/>
  <c r="P99" i="1"/>
  <c r="K100" i="1"/>
  <c r="L100" i="1"/>
  <c r="M100" i="1"/>
  <c r="N100" i="1"/>
  <c r="O100" i="1"/>
  <c r="P100" i="1"/>
  <c r="K101" i="1"/>
  <c r="L101" i="1"/>
  <c r="M101" i="1"/>
  <c r="N101" i="1"/>
  <c r="O101" i="1"/>
  <c r="P101" i="1"/>
  <c r="K102" i="1"/>
  <c r="L102" i="1"/>
  <c r="M102" i="1"/>
  <c r="N102" i="1"/>
  <c r="O102" i="1"/>
  <c r="P102" i="1"/>
  <c r="K103" i="1"/>
  <c r="L103" i="1"/>
  <c r="M103" i="1"/>
  <c r="N103" i="1"/>
  <c r="O103" i="1"/>
  <c r="P103" i="1"/>
  <c r="K104" i="1"/>
  <c r="L104" i="1"/>
  <c r="M104" i="1"/>
  <c r="N104" i="1"/>
  <c r="O104" i="1"/>
  <c r="P104" i="1"/>
  <c r="K105" i="1"/>
  <c r="L105" i="1"/>
  <c r="M105" i="1"/>
  <c r="N105" i="1"/>
  <c r="O105" i="1"/>
  <c r="P105" i="1"/>
  <c r="K106" i="1"/>
  <c r="L106" i="1"/>
  <c r="M106" i="1"/>
  <c r="N106" i="1"/>
  <c r="O106" i="1"/>
  <c r="P106" i="1"/>
  <c r="K107" i="1"/>
  <c r="L107" i="1"/>
  <c r="M107" i="1"/>
  <c r="N107" i="1"/>
  <c r="O107" i="1"/>
  <c r="P107" i="1"/>
  <c r="K108" i="1"/>
  <c r="L108" i="1"/>
  <c r="M108" i="1"/>
  <c r="N108" i="1"/>
  <c r="O108" i="1"/>
  <c r="P108" i="1"/>
  <c r="K109" i="1"/>
  <c r="L109" i="1"/>
  <c r="M109" i="1"/>
  <c r="N109" i="1"/>
  <c r="O109" i="1"/>
  <c r="P109" i="1"/>
  <c r="K110" i="1"/>
  <c r="L110" i="1"/>
  <c r="M110" i="1"/>
  <c r="N110" i="1"/>
  <c r="O110" i="1"/>
  <c r="P110" i="1"/>
  <c r="K111" i="1"/>
  <c r="L111" i="1"/>
  <c r="M111" i="1"/>
  <c r="N111" i="1"/>
  <c r="O111" i="1"/>
  <c r="P111" i="1"/>
  <c r="K112" i="1"/>
  <c r="L112" i="1"/>
  <c r="M112" i="1"/>
  <c r="N112" i="1"/>
  <c r="O112" i="1"/>
  <c r="P112" i="1"/>
  <c r="K113" i="1"/>
  <c r="L113" i="1"/>
  <c r="M113" i="1"/>
  <c r="N113" i="1"/>
  <c r="O113" i="1"/>
  <c r="P113" i="1"/>
  <c r="K114" i="1"/>
  <c r="L114" i="1"/>
  <c r="M114" i="1"/>
  <c r="N114" i="1"/>
  <c r="O114" i="1"/>
  <c r="P114" i="1"/>
  <c r="K115" i="1"/>
  <c r="L115" i="1"/>
  <c r="M115" i="1"/>
  <c r="N115" i="1"/>
  <c r="O115" i="1"/>
  <c r="P115" i="1"/>
  <c r="K116" i="1"/>
  <c r="L116" i="1"/>
  <c r="M116" i="1"/>
  <c r="N116" i="1"/>
  <c r="O116" i="1"/>
  <c r="P116" i="1"/>
  <c r="K117" i="1"/>
  <c r="L117" i="1"/>
  <c r="M117" i="1"/>
  <c r="N117" i="1"/>
  <c r="O117" i="1"/>
  <c r="P117" i="1"/>
  <c r="K118" i="1"/>
  <c r="L118" i="1"/>
  <c r="M118" i="1"/>
  <c r="N118" i="1"/>
  <c r="O118" i="1"/>
  <c r="P118" i="1"/>
  <c r="K119" i="1"/>
  <c r="L119" i="1"/>
  <c r="M119" i="1"/>
  <c r="N119" i="1"/>
  <c r="O119" i="1"/>
  <c r="P119" i="1"/>
  <c r="K120" i="1"/>
  <c r="L120" i="1"/>
  <c r="M120" i="1"/>
  <c r="N120" i="1"/>
  <c r="O120" i="1"/>
  <c r="P120" i="1"/>
  <c r="K121" i="1"/>
  <c r="L121" i="1"/>
  <c r="M121" i="1"/>
  <c r="N121" i="1"/>
  <c r="O121" i="1"/>
  <c r="P121" i="1"/>
  <c r="K122" i="1"/>
  <c r="L122" i="1"/>
  <c r="M122" i="1"/>
  <c r="N122" i="1"/>
  <c r="O122" i="1"/>
  <c r="P122" i="1"/>
  <c r="K123" i="1"/>
  <c r="L123" i="1"/>
  <c r="M123" i="1"/>
  <c r="N123" i="1"/>
  <c r="O123" i="1"/>
  <c r="P123" i="1"/>
  <c r="K124" i="1"/>
  <c r="L124" i="1"/>
  <c r="M124" i="1"/>
  <c r="N124" i="1"/>
  <c r="O124" i="1"/>
  <c r="P124" i="1"/>
  <c r="K125" i="1"/>
  <c r="L125" i="1"/>
  <c r="M125" i="1"/>
  <c r="N125" i="1"/>
  <c r="O125" i="1"/>
  <c r="P125" i="1"/>
  <c r="K126" i="1"/>
  <c r="L126" i="1"/>
  <c r="M126" i="1"/>
  <c r="N126" i="1"/>
  <c r="O126" i="1"/>
  <c r="P126" i="1"/>
  <c r="K127" i="1"/>
  <c r="L127" i="1"/>
  <c r="M127" i="1"/>
  <c r="N127" i="1"/>
  <c r="O127" i="1"/>
  <c r="P127" i="1"/>
  <c r="K128" i="1"/>
  <c r="L128" i="1"/>
  <c r="M128" i="1"/>
  <c r="N128" i="1"/>
  <c r="O128" i="1"/>
  <c r="P128" i="1"/>
  <c r="K129" i="1"/>
  <c r="L129" i="1"/>
  <c r="M129" i="1"/>
  <c r="N129" i="1"/>
  <c r="O129" i="1"/>
  <c r="P129" i="1"/>
  <c r="K130" i="1"/>
  <c r="L130" i="1"/>
  <c r="M130" i="1"/>
  <c r="N130" i="1"/>
  <c r="O130" i="1"/>
  <c r="P130" i="1"/>
  <c r="K131" i="1"/>
  <c r="L131" i="1"/>
  <c r="M131" i="1"/>
  <c r="N131" i="1"/>
  <c r="O131" i="1"/>
  <c r="P131" i="1"/>
  <c r="K132" i="1"/>
  <c r="L132" i="1"/>
  <c r="M132" i="1"/>
  <c r="N132" i="1"/>
  <c r="O132" i="1"/>
  <c r="P132" i="1"/>
  <c r="K133" i="1"/>
  <c r="L133" i="1"/>
  <c r="M133" i="1"/>
  <c r="N133" i="1"/>
  <c r="O133" i="1"/>
  <c r="P133" i="1"/>
  <c r="K134" i="1"/>
  <c r="L134" i="1"/>
  <c r="M134" i="1"/>
  <c r="N134" i="1"/>
  <c r="O134" i="1"/>
  <c r="P134" i="1"/>
  <c r="K135" i="1"/>
  <c r="L135" i="1"/>
  <c r="M135" i="1"/>
  <c r="N135" i="1"/>
  <c r="O135" i="1"/>
  <c r="P135" i="1"/>
  <c r="K136" i="1"/>
  <c r="L136" i="1"/>
  <c r="M136" i="1"/>
  <c r="N136" i="1"/>
  <c r="O136" i="1"/>
  <c r="P136" i="1"/>
  <c r="K137" i="1"/>
  <c r="L137" i="1"/>
  <c r="M137" i="1"/>
  <c r="N137" i="1"/>
  <c r="O137" i="1"/>
  <c r="P137" i="1"/>
  <c r="K138" i="1"/>
  <c r="L138" i="1"/>
  <c r="M138" i="1"/>
  <c r="N138" i="1"/>
  <c r="O138" i="1"/>
  <c r="P138" i="1"/>
  <c r="K139" i="1"/>
  <c r="L139" i="1"/>
  <c r="M139" i="1"/>
  <c r="N139" i="1"/>
  <c r="O139" i="1"/>
  <c r="P139" i="1"/>
  <c r="K140" i="1"/>
  <c r="L140" i="1"/>
  <c r="M140" i="1"/>
  <c r="N140" i="1"/>
  <c r="O140" i="1"/>
  <c r="P140" i="1"/>
  <c r="K141" i="1"/>
  <c r="L141" i="1"/>
  <c r="M141" i="1"/>
  <c r="N141" i="1"/>
  <c r="O141" i="1"/>
  <c r="P141" i="1"/>
  <c r="K142" i="1"/>
  <c r="L142" i="1"/>
  <c r="M142" i="1"/>
  <c r="N142" i="1"/>
  <c r="O142" i="1"/>
  <c r="P142" i="1"/>
  <c r="K143" i="1"/>
  <c r="L143" i="1"/>
  <c r="M143" i="1"/>
  <c r="N143" i="1"/>
  <c r="O143" i="1"/>
  <c r="P143" i="1"/>
  <c r="K144" i="1"/>
  <c r="L144" i="1"/>
  <c r="M144" i="1"/>
  <c r="N144" i="1"/>
  <c r="O144" i="1"/>
  <c r="P144" i="1"/>
  <c r="K145" i="1"/>
  <c r="L145" i="1"/>
  <c r="M145" i="1"/>
  <c r="N145" i="1"/>
  <c r="O145" i="1"/>
  <c r="P145" i="1"/>
  <c r="K146" i="1"/>
  <c r="L146" i="1"/>
  <c r="M146" i="1"/>
  <c r="N146" i="1"/>
  <c r="O146" i="1"/>
  <c r="P146" i="1"/>
  <c r="K147" i="1"/>
  <c r="L147" i="1"/>
  <c r="M147" i="1"/>
  <c r="N147" i="1"/>
  <c r="O147" i="1"/>
  <c r="P147" i="1"/>
  <c r="K148" i="1"/>
  <c r="L148" i="1"/>
  <c r="M148" i="1"/>
  <c r="N148" i="1"/>
  <c r="O148" i="1"/>
  <c r="P148" i="1"/>
  <c r="K149" i="1"/>
  <c r="L149" i="1"/>
  <c r="M149" i="1"/>
  <c r="N149" i="1"/>
  <c r="O149" i="1"/>
  <c r="P149" i="1"/>
  <c r="K150" i="1"/>
  <c r="L150" i="1"/>
  <c r="M150" i="1"/>
  <c r="N150" i="1"/>
  <c r="O150" i="1"/>
  <c r="P150" i="1"/>
  <c r="K151" i="1"/>
  <c r="L151" i="1"/>
  <c r="M151" i="1"/>
  <c r="N151" i="1"/>
  <c r="O151" i="1"/>
  <c r="P151" i="1"/>
  <c r="K152" i="1"/>
  <c r="L152" i="1"/>
  <c r="M152" i="1"/>
  <c r="N152" i="1"/>
  <c r="O152" i="1"/>
  <c r="P152" i="1"/>
  <c r="K153" i="1"/>
  <c r="L153" i="1"/>
  <c r="M153" i="1"/>
  <c r="N153" i="1"/>
  <c r="O153" i="1"/>
  <c r="P153" i="1"/>
  <c r="K154" i="1"/>
  <c r="L154" i="1"/>
  <c r="M154" i="1"/>
  <c r="N154" i="1"/>
  <c r="O154" i="1"/>
  <c r="P154" i="1"/>
  <c r="K155" i="1"/>
  <c r="L155" i="1"/>
  <c r="M155" i="1"/>
  <c r="N155" i="1"/>
  <c r="O155" i="1"/>
  <c r="P155" i="1"/>
  <c r="K156" i="1"/>
  <c r="L156" i="1"/>
  <c r="M156" i="1"/>
  <c r="N156" i="1"/>
  <c r="O156" i="1"/>
  <c r="P156" i="1"/>
  <c r="K157" i="1"/>
  <c r="L157" i="1"/>
  <c r="M157" i="1"/>
  <c r="N157" i="1"/>
  <c r="O157" i="1"/>
  <c r="P157" i="1"/>
  <c r="K158" i="1"/>
  <c r="L158" i="1"/>
  <c r="M158" i="1"/>
  <c r="N158" i="1"/>
  <c r="O158" i="1"/>
  <c r="P158" i="1"/>
  <c r="K159" i="1"/>
  <c r="L159" i="1"/>
  <c r="M159" i="1"/>
  <c r="N159" i="1"/>
  <c r="O159" i="1"/>
  <c r="P159" i="1"/>
  <c r="K160" i="1"/>
  <c r="L160" i="1"/>
  <c r="M160" i="1"/>
  <c r="N160" i="1"/>
  <c r="O160" i="1"/>
  <c r="P160" i="1"/>
  <c r="K161" i="1"/>
  <c r="L161" i="1"/>
  <c r="M161" i="1"/>
  <c r="N161" i="1"/>
  <c r="O161" i="1"/>
  <c r="P161" i="1"/>
  <c r="K162" i="1"/>
  <c r="L162" i="1"/>
  <c r="M162" i="1"/>
  <c r="N162" i="1"/>
  <c r="O162" i="1"/>
  <c r="P162" i="1"/>
  <c r="K163" i="1"/>
  <c r="L163" i="1"/>
  <c r="M163" i="1"/>
  <c r="N163" i="1"/>
  <c r="O163" i="1"/>
  <c r="P163" i="1"/>
  <c r="K164" i="1"/>
  <c r="L164" i="1"/>
  <c r="M164" i="1"/>
  <c r="N164" i="1"/>
  <c r="O164" i="1"/>
  <c r="P164" i="1"/>
  <c r="K165" i="1"/>
  <c r="L165" i="1"/>
  <c r="M165" i="1"/>
  <c r="N165" i="1"/>
  <c r="O165" i="1"/>
  <c r="P165" i="1"/>
  <c r="K166" i="1"/>
  <c r="L166" i="1"/>
  <c r="M166" i="1"/>
  <c r="N166" i="1"/>
  <c r="O166" i="1"/>
  <c r="P166" i="1"/>
  <c r="K167" i="1"/>
  <c r="L167" i="1"/>
  <c r="M167" i="1"/>
  <c r="N167" i="1"/>
  <c r="O167" i="1"/>
  <c r="P167" i="1"/>
  <c r="K168" i="1"/>
  <c r="L168" i="1"/>
  <c r="M168" i="1"/>
  <c r="N168" i="1"/>
  <c r="O168" i="1"/>
  <c r="P168" i="1"/>
  <c r="K169" i="1"/>
  <c r="L169" i="1"/>
  <c r="M169" i="1"/>
  <c r="N169" i="1"/>
  <c r="O169" i="1"/>
  <c r="P169" i="1"/>
  <c r="K170" i="1"/>
  <c r="L170" i="1"/>
  <c r="M170" i="1"/>
  <c r="N170" i="1"/>
  <c r="O170" i="1"/>
  <c r="P170" i="1"/>
  <c r="K171" i="1"/>
  <c r="L171" i="1"/>
  <c r="M171" i="1"/>
  <c r="N171" i="1"/>
  <c r="O171" i="1"/>
  <c r="P171" i="1"/>
  <c r="K172" i="1"/>
  <c r="L172" i="1"/>
  <c r="M172" i="1"/>
  <c r="N172" i="1"/>
  <c r="O172" i="1"/>
  <c r="P172" i="1"/>
  <c r="K173" i="1"/>
  <c r="L173" i="1"/>
  <c r="M173" i="1"/>
  <c r="N173" i="1"/>
  <c r="O173" i="1"/>
  <c r="P173" i="1"/>
  <c r="K174" i="1"/>
  <c r="L174" i="1"/>
  <c r="M174" i="1"/>
  <c r="N174" i="1"/>
  <c r="O174" i="1"/>
  <c r="P174" i="1"/>
  <c r="K175" i="1"/>
  <c r="L175" i="1"/>
  <c r="M175" i="1"/>
  <c r="N175" i="1"/>
  <c r="O175" i="1"/>
  <c r="P175" i="1"/>
  <c r="K176" i="1"/>
  <c r="L176" i="1"/>
  <c r="M176" i="1"/>
  <c r="N176" i="1"/>
  <c r="O176" i="1"/>
  <c r="P176" i="1"/>
  <c r="K177" i="1"/>
  <c r="L177" i="1"/>
  <c r="M177" i="1"/>
  <c r="N177" i="1"/>
  <c r="O177" i="1"/>
  <c r="P177" i="1"/>
  <c r="K178" i="1"/>
  <c r="L178" i="1"/>
  <c r="M178" i="1"/>
  <c r="N178" i="1"/>
  <c r="O178" i="1"/>
  <c r="P178" i="1"/>
  <c r="K179" i="1"/>
  <c r="L179" i="1"/>
  <c r="M179" i="1"/>
  <c r="N179" i="1"/>
  <c r="O179" i="1"/>
  <c r="P179" i="1"/>
  <c r="K180" i="1"/>
  <c r="L180" i="1"/>
  <c r="M180" i="1"/>
  <c r="N180" i="1"/>
  <c r="O180" i="1"/>
  <c r="P180" i="1"/>
  <c r="K181" i="1"/>
  <c r="L181" i="1"/>
  <c r="M181" i="1"/>
  <c r="N181" i="1"/>
  <c r="O181" i="1"/>
  <c r="P181" i="1"/>
  <c r="K182" i="1"/>
  <c r="L182" i="1"/>
  <c r="M182" i="1"/>
  <c r="N182" i="1"/>
  <c r="O182" i="1"/>
  <c r="P182" i="1"/>
  <c r="K183" i="1"/>
  <c r="L183" i="1"/>
  <c r="M183" i="1"/>
  <c r="N183" i="1"/>
  <c r="O183" i="1"/>
  <c r="P183" i="1"/>
  <c r="K184" i="1"/>
  <c r="L184" i="1"/>
  <c r="M184" i="1"/>
  <c r="N184" i="1"/>
  <c r="O184" i="1"/>
  <c r="P184" i="1"/>
  <c r="K185" i="1"/>
  <c r="L185" i="1"/>
  <c r="M185" i="1"/>
  <c r="N185" i="1"/>
  <c r="O185" i="1"/>
  <c r="P185" i="1"/>
  <c r="K186" i="1"/>
  <c r="L186" i="1"/>
  <c r="M186" i="1"/>
  <c r="N186" i="1"/>
  <c r="O186" i="1"/>
  <c r="P186" i="1"/>
  <c r="K187" i="1"/>
  <c r="L187" i="1"/>
  <c r="M187" i="1"/>
  <c r="N187" i="1"/>
  <c r="O187" i="1"/>
  <c r="P187" i="1"/>
  <c r="K188" i="1"/>
  <c r="L188" i="1"/>
  <c r="M188" i="1"/>
  <c r="N188" i="1"/>
  <c r="O188" i="1"/>
  <c r="P188" i="1"/>
  <c r="K189" i="1"/>
  <c r="L189" i="1"/>
  <c r="M189" i="1"/>
  <c r="N189" i="1"/>
  <c r="O189" i="1"/>
  <c r="P189" i="1"/>
  <c r="K190" i="1"/>
  <c r="L190" i="1"/>
  <c r="M190" i="1"/>
  <c r="N190" i="1"/>
  <c r="O190" i="1"/>
  <c r="P190" i="1"/>
  <c r="K191" i="1"/>
  <c r="L191" i="1"/>
  <c r="M191" i="1"/>
  <c r="N191" i="1"/>
  <c r="O191" i="1"/>
  <c r="P191" i="1"/>
  <c r="K192" i="1"/>
  <c r="L192" i="1"/>
  <c r="M192" i="1"/>
  <c r="N192" i="1"/>
  <c r="O192" i="1"/>
  <c r="P192" i="1"/>
  <c r="K193" i="1"/>
  <c r="L193" i="1"/>
  <c r="M193" i="1"/>
  <c r="N193" i="1"/>
  <c r="O193" i="1"/>
  <c r="P193" i="1"/>
  <c r="K194" i="1"/>
  <c r="L194" i="1"/>
  <c r="M194" i="1"/>
  <c r="N194" i="1"/>
  <c r="O194" i="1"/>
  <c r="P194" i="1"/>
  <c r="K195" i="1"/>
  <c r="L195" i="1"/>
  <c r="M195" i="1"/>
  <c r="N195" i="1"/>
  <c r="O195" i="1"/>
  <c r="P195" i="1"/>
  <c r="K196" i="1"/>
  <c r="L196" i="1"/>
  <c r="M196" i="1"/>
  <c r="N196" i="1"/>
  <c r="O196" i="1"/>
  <c r="P196" i="1"/>
  <c r="K197" i="1"/>
  <c r="L197" i="1"/>
  <c r="M197" i="1"/>
  <c r="N197" i="1"/>
  <c r="O197" i="1"/>
  <c r="P197" i="1"/>
  <c r="K198" i="1"/>
  <c r="L198" i="1"/>
  <c r="M198" i="1"/>
  <c r="N198" i="1"/>
  <c r="O198" i="1"/>
  <c r="P198" i="1"/>
  <c r="K199" i="1"/>
  <c r="L199" i="1"/>
  <c r="M199" i="1"/>
  <c r="N199" i="1"/>
  <c r="O199" i="1"/>
  <c r="P199" i="1"/>
  <c r="K200" i="1"/>
  <c r="L200" i="1"/>
  <c r="M200" i="1"/>
  <c r="N200" i="1"/>
  <c r="O200" i="1"/>
  <c r="P200" i="1"/>
  <c r="K201" i="1"/>
  <c r="L201" i="1"/>
  <c r="M201" i="1"/>
  <c r="N201" i="1"/>
  <c r="O201" i="1"/>
  <c r="P201" i="1"/>
  <c r="K202" i="1"/>
  <c r="L202" i="1"/>
  <c r="M202" i="1"/>
  <c r="N202" i="1"/>
  <c r="O202" i="1"/>
  <c r="P202" i="1"/>
  <c r="K203" i="1"/>
  <c r="L203" i="1"/>
  <c r="M203" i="1"/>
  <c r="N203" i="1"/>
  <c r="O203" i="1"/>
  <c r="P203" i="1"/>
  <c r="K204" i="1"/>
  <c r="L204" i="1"/>
  <c r="M204" i="1"/>
  <c r="N204" i="1"/>
  <c r="O204" i="1"/>
  <c r="P204" i="1"/>
  <c r="K205" i="1"/>
  <c r="L205" i="1"/>
  <c r="M205" i="1"/>
  <c r="N205" i="1"/>
  <c r="O205" i="1"/>
  <c r="P205" i="1"/>
  <c r="K206" i="1"/>
  <c r="L206" i="1"/>
  <c r="M206" i="1"/>
  <c r="N206" i="1"/>
  <c r="O206" i="1"/>
  <c r="P206" i="1"/>
  <c r="K207" i="1"/>
  <c r="L207" i="1"/>
  <c r="M207" i="1"/>
  <c r="N207" i="1"/>
  <c r="O207" i="1"/>
  <c r="P207" i="1"/>
  <c r="K208" i="1"/>
  <c r="L208" i="1"/>
  <c r="M208" i="1"/>
  <c r="N208" i="1"/>
  <c r="O208" i="1"/>
  <c r="P208" i="1"/>
  <c r="K209" i="1"/>
  <c r="L209" i="1"/>
  <c r="M209" i="1"/>
  <c r="N209" i="1"/>
  <c r="O209" i="1"/>
  <c r="P209" i="1"/>
  <c r="K210" i="1"/>
  <c r="L210" i="1"/>
  <c r="M210" i="1"/>
  <c r="N210" i="1"/>
  <c r="O210" i="1"/>
  <c r="P210" i="1"/>
  <c r="K211" i="1"/>
  <c r="L211" i="1"/>
  <c r="M211" i="1"/>
  <c r="N211" i="1"/>
  <c r="O211" i="1"/>
  <c r="P211" i="1"/>
  <c r="K212" i="1"/>
  <c r="L212" i="1"/>
  <c r="M212" i="1"/>
  <c r="N212" i="1"/>
  <c r="O212" i="1"/>
  <c r="P212" i="1"/>
  <c r="K213" i="1"/>
  <c r="L213" i="1"/>
  <c r="M213" i="1"/>
  <c r="N213" i="1"/>
  <c r="O213" i="1"/>
  <c r="P213" i="1"/>
  <c r="K214" i="1"/>
  <c r="L214" i="1"/>
  <c r="M214" i="1"/>
  <c r="N214" i="1"/>
  <c r="O214" i="1"/>
  <c r="P214" i="1"/>
  <c r="K215" i="1"/>
  <c r="L215" i="1"/>
  <c r="M215" i="1"/>
  <c r="N215" i="1"/>
  <c r="O215" i="1"/>
  <c r="P215" i="1"/>
  <c r="K216" i="1"/>
  <c r="L216" i="1"/>
  <c r="M216" i="1"/>
  <c r="N216" i="1"/>
  <c r="O216" i="1"/>
  <c r="P216" i="1"/>
  <c r="K217" i="1"/>
  <c r="L217" i="1"/>
  <c r="M217" i="1"/>
  <c r="N217" i="1"/>
  <c r="O217" i="1"/>
  <c r="P217" i="1"/>
  <c r="K218" i="1"/>
  <c r="L218" i="1"/>
  <c r="M218" i="1"/>
  <c r="N218" i="1"/>
  <c r="O218" i="1"/>
  <c r="P218" i="1"/>
  <c r="K219" i="1"/>
  <c r="L219" i="1"/>
  <c r="M219" i="1"/>
  <c r="N219" i="1"/>
  <c r="O219" i="1"/>
  <c r="P219" i="1"/>
  <c r="K220" i="1"/>
  <c r="L220" i="1"/>
  <c r="M220" i="1"/>
  <c r="N220" i="1"/>
  <c r="O220" i="1"/>
  <c r="P220" i="1"/>
  <c r="K221" i="1"/>
  <c r="L221" i="1"/>
  <c r="M221" i="1"/>
  <c r="N221" i="1"/>
  <c r="O221" i="1"/>
  <c r="P221" i="1"/>
  <c r="K222" i="1"/>
  <c r="L222" i="1"/>
  <c r="M222" i="1"/>
  <c r="N222" i="1"/>
  <c r="O222" i="1"/>
  <c r="P222" i="1"/>
  <c r="K223" i="1"/>
  <c r="L223" i="1"/>
  <c r="M223" i="1"/>
  <c r="N223" i="1"/>
  <c r="O223" i="1"/>
  <c r="P223" i="1"/>
  <c r="K224" i="1"/>
  <c r="L224" i="1"/>
  <c r="M224" i="1"/>
  <c r="N224" i="1"/>
  <c r="O224" i="1"/>
  <c r="P224" i="1"/>
  <c r="K225" i="1"/>
  <c r="L225" i="1"/>
  <c r="M225" i="1"/>
  <c r="N225" i="1"/>
  <c r="O225" i="1"/>
  <c r="P225" i="1"/>
  <c r="K226" i="1"/>
  <c r="L226" i="1"/>
  <c r="M226" i="1"/>
  <c r="N226" i="1"/>
  <c r="O226" i="1"/>
  <c r="P226" i="1"/>
  <c r="K227" i="1"/>
  <c r="L227" i="1"/>
  <c r="M227" i="1"/>
  <c r="N227" i="1"/>
  <c r="O227" i="1"/>
  <c r="P227" i="1"/>
  <c r="K228" i="1"/>
  <c r="L228" i="1"/>
  <c r="M228" i="1"/>
  <c r="N228" i="1"/>
  <c r="O228" i="1"/>
  <c r="P228" i="1"/>
  <c r="K229" i="1"/>
  <c r="L229" i="1"/>
  <c r="M229" i="1"/>
  <c r="N229" i="1"/>
  <c r="O229" i="1"/>
  <c r="P229" i="1"/>
  <c r="K230" i="1"/>
  <c r="L230" i="1"/>
  <c r="M230" i="1"/>
  <c r="N230" i="1"/>
  <c r="O230" i="1"/>
  <c r="P230" i="1"/>
  <c r="K231" i="1"/>
  <c r="L231" i="1"/>
  <c r="M231" i="1"/>
  <c r="N231" i="1"/>
  <c r="O231" i="1"/>
  <c r="P231" i="1"/>
  <c r="K232" i="1"/>
  <c r="L232" i="1"/>
  <c r="M232" i="1"/>
  <c r="N232" i="1"/>
  <c r="O232" i="1"/>
  <c r="P232" i="1"/>
  <c r="K233" i="1"/>
  <c r="L233" i="1"/>
  <c r="M233" i="1"/>
  <c r="N233" i="1"/>
  <c r="O233" i="1"/>
  <c r="P233" i="1"/>
  <c r="K234" i="1"/>
  <c r="L234" i="1"/>
  <c r="M234" i="1"/>
  <c r="N234" i="1"/>
  <c r="O234" i="1"/>
  <c r="P234" i="1"/>
  <c r="K235" i="1"/>
  <c r="L235" i="1"/>
  <c r="M235" i="1"/>
  <c r="N235" i="1"/>
  <c r="O235" i="1"/>
  <c r="P235" i="1"/>
  <c r="K236" i="1"/>
  <c r="L236" i="1"/>
  <c r="M236" i="1"/>
  <c r="N236" i="1"/>
  <c r="O236" i="1"/>
  <c r="P236" i="1"/>
  <c r="K237" i="1"/>
  <c r="L237" i="1"/>
  <c r="M237" i="1"/>
  <c r="N237" i="1"/>
  <c r="O237" i="1"/>
  <c r="P237" i="1"/>
  <c r="K238" i="1"/>
  <c r="L238" i="1"/>
  <c r="M238" i="1"/>
  <c r="N238" i="1"/>
  <c r="O238" i="1"/>
  <c r="P238" i="1"/>
  <c r="K239" i="1"/>
  <c r="L239" i="1"/>
  <c r="M239" i="1"/>
  <c r="N239" i="1"/>
  <c r="O239" i="1"/>
  <c r="P239" i="1"/>
  <c r="K240" i="1"/>
  <c r="L240" i="1"/>
  <c r="M240" i="1"/>
  <c r="N240" i="1"/>
  <c r="O240" i="1"/>
  <c r="P240" i="1"/>
  <c r="K241" i="1"/>
  <c r="L241" i="1"/>
  <c r="M241" i="1"/>
  <c r="N241" i="1"/>
  <c r="O241" i="1"/>
  <c r="P241" i="1"/>
  <c r="K242" i="1"/>
  <c r="L242" i="1"/>
  <c r="M242" i="1"/>
  <c r="N242" i="1"/>
  <c r="O242" i="1"/>
  <c r="P242" i="1"/>
  <c r="K243" i="1"/>
  <c r="L243" i="1"/>
  <c r="M243" i="1"/>
  <c r="N243" i="1"/>
  <c r="O243" i="1"/>
  <c r="P243" i="1"/>
  <c r="K244" i="1"/>
  <c r="L244" i="1"/>
  <c r="M244" i="1"/>
  <c r="N244" i="1"/>
  <c r="O244" i="1"/>
  <c r="P244" i="1"/>
  <c r="K245" i="1"/>
  <c r="L245" i="1"/>
  <c r="M245" i="1"/>
  <c r="N245" i="1"/>
  <c r="O245" i="1"/>
  <c r="P245" i="1"/>
  <c r="K246" i="1"/>
  <c r="L246" i="1"/>
  <c r="M246" i="1"/>
  <c r="N246" i="1"/>
  <c r="O246" i="1"/>
  <c r="P246" i="1"/>
  <c r="K247" i="1"/>
  <c r="L247" i="1"/>
  <c r="M247" i="1"/>
  <c r="N247" i="1"/>
  <c r="O247" i="1"/>
  <c r="P247" i="1"/>
  <c r="K248" i="1"/>
  <c r="L248" i="1"/>
  <c r="M248" i="1"/>
  <c r="N248" i="1"/>
  <c r="O248" i="1"/>
  <c r="P248" i="1"/>
  <c r="K249" i="1"/>
  <c r="L249" i="1"/>
  <c r="M249" i="1"/>
  <c r="N249" i="1"/>
  <c r="O249" i="1"/>
  <c r="P249" i="1"/>
  <c r="K250" i="1"/>
  <c r="L250" i="1"/>
  <c r="M250" i="1"/>
  <c r="N250" i="1"/>
  <c r="O250" i="1"/>
  <c r="P250" i="1"/>
  <c r="K251" i="1"/>
  <c r="L251" i="1"/>
  <c r="M251" i="1"/>
  <c r="N251" i="1"/>
  <c r="O251" i="1"/>
  <c r="P251" i="1"/>
  <c r="K252" i="1"/>
  <c r="L252" i="1"/>
  <c r="M252" i="1"/>
  <c r="N252" i="1"/>
  <c r="O252" i="1"/>
  <c r="P252" i="1"/>
  <c r="K253" i="1"/>
  <c r="L253" i="1"/>
  <c r="M253" i="1"/>
  <c r="N253" i="1"/>
  <c r="O253" i="1"/>
  <c r="P253" i="1"/>
  <c r="K254" i="1"/>
  <c r="L254" i="1"/>
  <c r="M254" i="1"/>
  <c r="N254" i="1"/>
  <c r="O254" i="1"/>
  <c r="P254" i="1"/>
  <c r="K255" i="1"/>
  <c r="L255" i="1"/>
  <c r="M255" i="1"/>
  <c r="N255" i="1"/>
  <c r="O255" i="1"/>
  <c r="P255" i="1"/>
  <c r="K256" i="1"/>
  <c r="L256" i="1"/>
  <c r="M256" i="1"/>
  <c r="N256" i="1"/>
  <c r="O256" i="1"/>
  <c r="P256" i="1"/>
  <c r="K257" i="1"/>
  <c r="L257" i="1"/>
  <c r="M257" i="1"/>
  <c r="N257" i="1"/>
  <c r="O257" i="1"/>
  <c r="P257" i="1"/>
  <c r="K258" i="1"/>
  <c r="L258" i="1"/>
  <c r="M258" i="1"/>
  <c r="N258" i="1"/>
  <c r="O258" i="1"/>
  <c r="P258" i="1"/>
  <c r="K259" i="1"/>
  <c r="L259" i="1"/>
  <c r="M259" i="1"/>
  <c r="N259" i="1"/>
  <c r="O259" i="1"/>
  <c r="P259" i="1"/>
  <c r="K260" i="1"/>
  <c r="L260" i="1"/>
  <c r="M260" i="1"/>
  <c r="N260" i="1"/>
  <c r="O260" i="1"/>
  <c r="P260" i="1"/>
  <c r="K261" i="1"/>
  <c r="L261" i="1"/>
  <c r="M261" i="1"/>
  <c r="N261" i="1"/>
  <c r="O261" i="1"/>
  <c r="P261" i="1"/>
  <c r="K262" i="1"/>
  <c r="L262" i="1"/>
  <c r="M262" i="1"/>
  <c r="N262" i="1"/>
  <c r="O262" i="1"/>
  <c r="P262" i="1"/>
  <c r="K263" i="1"/>
  <c r="L263" i="1"/>
  <c r="M263" i="1"/>
  <c r="N263" i="1"/>
  <c r="O263" i="1"/>
  <c r="P263" i="1"/>
  <c r="K264" i="1"/>
  <c r="L264" i="1"/>
  <c r="M264" i="1"/>
  <c r="N264" i="1"/>
  <c r="O264" i="1"/>
  <c r="P264" i="1"/>
  <c r="K265" i="1"/>
  <c r="L265" i="1"/>
  <c r="M265" i="1"/>
  <c r="N265" i="1"/>
  <c r="O265" i="1"/>
  <c r="P265" i="1"/>
  <c r="K266" i="1"/>
  <c r="L266" i="1"/>
  <c r="M266" i="1"/>
  <c r="N266" i="1"/>
  <c r="O266" i="1"/>
  <c r="P266" i="1"/>
  <c r="K267" i="1"/>
  <c r="L267" i="1"/>
  <c r="M267" i="1"/>
  <c r="N267" i="1"/>
  <c r="O267" i="1"/>
  <c r="P267" i="1"/>
  <c r="K268" i="1"/>
  <c r="L268" i="1"/>
  <c r="M268" i="1"/>
  <c r="N268" i="1"/>
  <c r="O268" i="1"/>
  <c r="P268" i="1"/>
  <c r="K269" i="1"/>
  <c r="L269" i="1"/>
  <c r="M269" i="1"/>
  <c r="N269" i="1"/>
  <c r="O269" i="1"/>
  <c r="P269" i="1"/>
  <c r="K270" i="1"/>
  <c r="L270" i="1"/>
  <c r="M270" i="1"/>
  <c r="N270" i="1"/>
  <c r="O270" i="1"/>
  <c r="P270" i="1"/>
  <c r="K271" i="1"/>
  <c r="L271" i="1"/>
  <c r="M271" i="1"/>
  <c r="N271" i="1"/>
  <c r="O271" i="1"/>
  <c r="P271" i="1"/>
  <c r="K272" i="1"/>
  <c r="L272" i="1"/>
  <c r="M272" i="1"/>
  <c r="N272" i="1"/>
  <c r="O272" i="1"/>
  <c r="P272" i="1"/>
  <c r="K273" i="1"/>
  <c r="L273" i="1"/>
  <c r="M273" i="1"/>
  <c r="N273" i="1"/>
  <c r="O273" i="1"/>
  <c r="P273" i="1"/>
  <c r="K274" i="1"/>
  <c r="L274" i="1"/>
  <c r="M274" i="1"/>
  <c r="N274" i="1"/>
  <c r="O274" i="1"/>
  <c r="P274" i="1"/>
  <c r="K275" i="1"/>
  <c r="L275" i="1"/>
  <c r="M275" i="1"/>
  <c r="N275" i="1"/>
  <c r="O275" i="1"/>
  <c r="P275" i="1"/>
  <c r="K276" i="1"/>
  <c r="L276" i="1"/>
  <c r="M276" i="1"/>
  <c r="N276" i="1"/>
  <c r="O276" i="1"/>
  <c r="P276" i="1"/>
  <c r="K277" i="1"/>
  <c r="L277" i="1"/>
  <c r="M277" i="1"/>
  <c r="N277" i="1"/>
  <c r="O277" i="1"/>
  <c r="P277" i="1"/>
  <c r="K278" i="1"/>
  <c r="L278" i="1"/>
  <c r="M278" i="1"/>
  <c r="N278" i="1"/>
  <c r="O278" i="1"/>
  <c r="P278" i="1"/>
  <c r="K279" i="1"/>
  <c r="L279" i="1"/>
  <c r="M279" i="1"/>
  <c r="N279" i="1"/>
  <c r="O279" i="1"/>
  <c r="P279" i="1"/>
  <c r="K280" i="1"/>
  <c r="L280" i="1"/>
  <c r="M280" i="1"/>
  <c r="N280" i="1"/>
  <c r="O280" i="1"/>
  <c r="P280" i="1"/>
  <c r="K281" i="1"/>
  <c r="L281" i="1"/>
  <c r="M281" i="1"/>
  <c r="N281" i="1"/>
  <c r="O281" i="1"/>
  <c r="P281" i="1"/>
  <c r="K282" i="1"/>
  <c r="L282" i="1"/>
  <c r="M282" i="1"/>
  <c r="N282" i="1"/>
  <c r="O282" i="1"/>
  <c r="P282" i="1"/>
  <c r="K283" i="1"/>
  <c r="L283" i="1"/>
  <c r="M283" i="1"/>
  <c r="N283" i="1"/>
  <c r="O283" i="1"/>
  <c r="P283" i="1"/>
  <c r="K284" i="1"/>
  <c r="L284" i="1"/>
  <c r="M284" i="1"/>
  <c r="N284" i="1"/>
  <c r="O284" i="1"/>
  <c r="P284" i="1"/>
  <c r="K285" i="1"/>
  <c r="L285" i="1"/>
  <c r="M285" i="1"/>
  <c r="N285" i="1"/>
  <c r="O285" i="1"/>
  <c r="P285" i="1"/>
  <c r="K286" i="1"/>
  <c r="L286" i="1"/>
  <c r="M286" i="1"/>
  <c r="N286" i="1"/>
  <c r="O286" i="1"/>
  <c r="P286" i="1"/>
  <c r="K287" i="1"/>
  <c r="L287" i="1"/>
  <c r="M287" i="1"/>
  <c r="N287" i="1"/>
  <c r="O287" i="1"/>
  <c r="P287" i="1"/>
  <c r="K288" i="1"/>
  <c r="L288" i="1"/>
  <c r="M288" i="1"/>
  <c r="N288" i="1"/>
  <c r="O288" i="1"/>
  <c r="P288" i="1"/>
  <c r="K289" i="1"/>
  <c r="L289" i="1"/>
  <c r="M289" i="1"/>
  <c r="N289" i="1"/>
  <c r="O289" i="1"/>
  <c r="P289" i="1"/>
  <c r="K290" i="1"/>
  <c r="L290" i="1"/>
  <c r="M290" i="1"/>
  <c r="N290" i="1"/>
  <c r="O290" i="1"/>
  <c r="P290" i="1"/>
  <c r="K291" i="1"/>
  <c r="L291" i="1"/>
  <c r="M291" i="1"/>
  <c r="N291" i="1"/>
  <c r="O291" i="1"/>
  <c r="P291" i="1"/>
  <c r="K292" i="1"/>
  <c r="L292" i="1"/>
  <c r="M292" i="1"/>
  <c r="N292" i="1"/>
  <c r="O292" i="1"/>
  <c r="P292" i="1"/>
  <c r="K293" i="1"/>
  <c r="L293" i="1"/>
  <c r="M293" i="1"/>
  <c r="N293" i="1"/>
  <c r="O293" i="1"/>
  <c r="P293" i="1"/>
  <c r="K294" i="1"/>
  <c r="L294" i="1"/>
  <c r="M294" i="1"/>
  <c r="N294" i="1"/>
  <c r="O294" i="1"/>
  <c r="P294" i="1"/>
  <c r="K295" i="1"/>
  <c r="L295" i="1"/>
  <c r="M295" i="1"/>
  <c r="N295" i="1"/>
  <c r="O295" i="1"/>
  <c r="P295" i="1"/>
  <c r="K296" i="1"/>
  <c r="L296" i="1"/>
  <c r="M296" i="1"/>
  <c r="N296" i="1"/>
  <c r="O296" i="1"/>
  <c r="P296" i="1"/>
  <c r="K297" i="1"/>
  <c r="L297" i="1"/>
  <c r="M297" i="1"/>
  <c r="N297" i="1"/>
  <c r="O297" i="1"/>
  <c r="P297" i="1"/>
  <c r="K298" i="1"/>
  <c r="L298" i="1"/>
  <c r="M298" i="1"/>
  <c r="N298" i="1"/>
  <c r="O298" i="1"/>
  <c r="P298" i="1"/>
  <c r="K299" i="1"/>
  <c r="L299" i="1"/>
  <c r="M299" i="1"/>
  <c r="N299" i="1"/>
  <c r="O299" i="1"/>
  <c r="P299" i="1"/>
  <c r="K300" i="1"/>
  <c r="L300" i="1"/>
  <c r="M300" i="1"/>
  <c r="N300" i="1"/>
  <c r="O300" i="1"/>
  <c r="P300" i="1"/>
  <c r="K301" i="1"/>
  <c r="L301" i="1"/>
  <c r="M301" i="1"/>
  <c r="N301" i="1"/>
  <c r="O301" i="1"/>
  <c r="P301" i="1"/>
  <c r="K302" i="1"/>
  <c r="L302" i="1"/>
  <c r="M302" i="1"/>
  <c r="N302" i="1"/>
  <c r="O302" i="1"/>
  <c r="P302" i="1"/>
  <c r="K303" i="1"/>
  <c r="L303" i="1"/>
  <c r="M303" i="1"/>
  <c r="N303" i="1"/>
  <c r="O303" i="1"/>
  <c r="P303" i="1"/>
  <c r="K304" i="1"/>
  <c r="L304" i="1"/>
  <c r="M304" i="1"/>
  <c r="N304" i="1"/>
  <c r="O304" i="1"/>
  <c r="P304" i="1"/>
  <c r="K305" i="1"/>
  <c r="L305" i="1"/>
  <c r="M305" i="1"/>
  <c r="N305" i="1"/>
  <c r="O305" i="1"/>
  <c r="P305" i="1"/>
  <c r="K306" i="1"/>
  <c r="L306" i="1"/>
  <c r="M306" i="1"/>
  <c r="N306" i="1"/>
  <c r="O306" i="1"/>
  <c r="P306" i="1"/>
  <c r="K307" i="1"/>
  <c r="L307" i="1"/>
  <c r="M307" i="1"/>
  <c r="N307" i="1"/>
  <c r="O307" i="1"/>
  <c r="P307" i="1"/>
  <c r="K308" i="1"/>
  <c r="L308" i="1"/>
  <c r="M308" i="1"/>
  <c r="N308" i="1"/>
  <c r="O308" i="1"/>
  <c r="P308" i="1"/>
  <c r="K309" i="1"/>
  <c r="L309" i="1"/>
  <c r="M309" i="1"/>
  <c r="N309" i="1"/>
  <c r="O309" i="1"/>
  <c r="P309" i="1"/>
  <c r="K310" i="1"/>
  <c r="L310" i="1"/>
  <c r="M310" i="1"/>
  <c r="N310" i="1"/>
  <c r="O310" i="1"/>
  <c r="P310" i="1"/>
  <c r="K311" i="1"/>
  <c r="L311" i="1"/>
  <c r="M311" i="1"/>
  <c r="N311" i="1"/>
  <c r="O311" i="1"/>
  <c r="P311" i="1"/>
  <c r="K312" i="1"/>
  <c r="L312" i="1"/>
  <c r="M312" i="1"/>
  <c r="N312" i="1"/>
  <c r="O312" i="1"/>
  <c r="P312" i="1"/>
  <c r="K313" i="1"/>
  <c r="L313" i="1"/>
  <c r="M313" i="1"/>
  <c r="N313" i="1"/>
  <c r="O313" i="1"/>
  <c r="P313" i="1"/>
  <c r="K314" i="1"/>
  <c r="L314" i="1"/>
  <c r="M314" i="1"/>
  <c r="N314" i="1"/>
  <c r="O314" i="1"/>
  <c r="P314" i="1"/>
  <c r="K315" i="1"/>
  <c r="L315" i="1"/>
  <c r="M315" i="1"/>
  <c r="N315" i="1"/>
  <c r="O315" i="1"/>
  <c r="P315" i="1"/>
  <c r="K316" i="1"/>
  <c r="L316" i="1"/>
  <c r="M316" i="1"/>
  <c r="N316" i="1"/>
  <c r="O316" i="1"/>
  <c r="P316" i="1"/>
  <c r="K317" i="1"/>
  <c r="L317" i="1"/>
  <c r="M317" i="1"/>
  <c r="N317" i="1"/>
  <c r="O317" i="1"/>
  <c r="P317" i="1"/>
  <c r="K318" i="1"/>
  <c r="L318" i="1"/>
  <c r="M318" i="1"/>
  <c r="N318" i="1"/>
  <c r="O318" i="1"/>
  <c r="P318" i="1"/>
  <c r="K319" i="1"/>
  <c r="L319" i="1"/>
  <c r="M319" i="1"/>
  <c r="N319" i="1"/>
  <c r="O319" i="1"/>
  <c r="P319" i="1"/>
  <c r="K320" i="1"/>
  <c r="L320" i="1"/>
  <c r="M320" i="1"/>
  <c r="N320" i="1"/>
  <c r="O320" i="1"/>
  <c r="P320" i="1"/>
  <c r="K321" i="1"/>
  <c r="L321" i="1"/>
  <c r="M321" i="1"/>
  <c r="N321" i="1"/>
  <c r="O321" i="1"/>
  <c r="P321" i="1"/>
  <c r="K322" i="1"/>
  <c r="L322" i="1"/>
  <c r="M322" i="1"/>
  <c r="N322" i="1"/>
  <c r="O322" i="1"/>
  <c r="P322" i="1"/>
  <c r="K323" i="1"/>
  <c r="L323" i="1"/>
  <c r="M323" i="1"/>
  <c r="N323" i="1"/>
  <c r="O323" i="1"/>
  <c r="P323" i="1"/>
  <c r="K324" i="1"/>
  <c r="L324" i="1"/>
  <c r="M324" i="1"/>
  <c r="N324" i="1"/>
  <c r="O324" i="1"/>
  <c r="P324" i="1"/>
  <c r="K325" i="1"/>
  <c r="L325" i="1"/>
  <c r="M325" i="1"/>
  <c r="N325" i="1"/>
  <c r="O325" i="1"/>
  <c r="P325" i="1"/>
  <c r="K326" i="1"/>
  <c r="L326" i="1"/>
  <c r="M326" i="1"/>
  <c r="N326" i="1"/>
  <c r="O326" i="1"/>
  <c r="P326" i="1"/>
  <c r="K327" i="1"/>
  <c r="L327" i="1"/>
  <c r="M327" i="1"/>
  <c r="N327" i="1"/>
  <c r="O327" i="1"/>
  <c r="P327" i="1"/>
  <c r="K328" i="1"/>
  <c r="L328" i="1"/>
  <c r="M328" i="1"/>
  <c r="N328" i="1"/>
  <c r="O328" i="1"/>
  <c r="P328" i="1"/>
  <c r="K329" i="1"/>
  <c r="L329" i="1"/>
  <c r="M329" i="1"/>
  <c r="N329" i="1"/>
  <c r="O329" i="1"/>
  <c r="P329" i="1"/>
  <c r="K330" i="1"/>
  <c r="L330" i="1"/>
  <c r="M330" i="1"/>
  <c r="N330" i="1"/>
  <c r="O330" i="1"/>
  <c r="P330" i="1"/>
  <c r="K331" i="1"/>
  <c r="L331" i="1"/>
  <c r="M331" i="1"/>
  <c r="N331" i="1"/>
  <c r="O331" i="1"/>
  <c r="P331" i="1"/>
  <c r="K332" i="1"/>
  <c r="L332" i="1"/>
  <c r="M332" i="1"/>
  <c r="N332" i="1"/>
  <c r="O332" i="1"/>
  <c r="P332" i="1"/>
  <c r="K333" i="1"/>
  <c r="L333" i="1"/>
  <c r="M333" i="1"/>
  <c r="N333" i="1"/>
  <c r="O333" i="1"/>
  <c r="P333" i="1"/>
  <c r="K334" i="1"/>
  <c r="L334" i="1"/>
  <c r="M334" i="1"/>
  <c r="N334" i="1"/>
  <c r="O334" i="1"/>
  <c r="P334" i="1"/>
  <c r="K335" i="1"/>
  <c r="L335" i="1"/>
  <c r="M335" i="1"/>
  <c r="N335" i="1"/>
  <c r="O335" i="1"/>
  <c r="P335" i="1"/>
  <c r="K336" i="1"/>
  <c r="L336" i="1"/>
  <c r="M336" i="1"/>
  <c r="N336" i="1"/>
  <c r="O336" i="1"/>
  <c r="P336" i="1"/>
  <c r="K337" i="1"/>
  <c r="L337" i="1"/>
  <c r="M337" i="1"/>
  <c r="N337" i="1"/>
  <c r="O337" i="1"/>
  <c r="P337" i="1"/>
  <c r="K338" i="1"/>
  <c r="L338" i="1"/>
  <c r="M338" i="1"/>
  <c r="N338" i="1"/>
  <c r="O338" i="1"/>
  <c r="P338" i="1"/>
  <c r="K339" i="1"/>
  <c r="L339" i="1"/>
  <c r="M339" i="1"/>
  <c r="N339" i="1"/>
  <c r="O339" i="1"/>
  <c r="P339" i="1"/>
  <c r="K340" i="1"/>
  <c r="L340" i="1"/>
  <c r="M340" i="1"/>
  <c r="N340" i="1"/>
  <c r="O340" i="1"/>
  <c r="P340" i="1"/>
  <c r="K341" i="1"/>
  <c r="L341" i="1"/>
  <c r="M341" i="1"/>
  <c r="N341" i="1"/>
  <c r="O341" i="1"/>
  <c r="P341" i="1"/>
  <c r="K342" i="1"/>
  <c r="L342" i="1"/>
  <c r="M342" i="1"/>
  <c r="N342" i="1"/>
  <c r="O342" i="1"/>
  <c r="P342" i="1"/>
  <c r="K343" i="1"/>
  <c r="L343" i="1"/>
  <c r="M343" i="1"/>
  <c r="N343" i="1"/>
  <c r="O343" i="1"/>
  <c r="P343" i="1"/>
  <c r="K344" i="1"/>
  <c r="L344" i="1"/>
  <c r="M344" i="1"/>
  <c r="N344" i="1"/>
  <c r="O344" i="1"/>
  <c r="P344" i="1"/>
  <c r="K345" i="1"/>
  <c r="L345" i="1"/>
  <c r="M345" i="1"/>
  <c r="N345" i="1"/>
  <c r="O345" i="1"/>
  <c r="P345" i="1"/>
  <c r="K346" i="1"/>
  <c r="L346" i="1"/>
  <c r="M346" i="1"/>
  <c r="N346" i="1"/>
  <c r="O346" i="1"/>
  <c r="P346" i="1"/>
  <c r="K347" i="1"/>
  <c r="L347" i="1"/>
  <c r="M347" i="1"/>
  <c r="N347" i="1"/>
  <c r="O347" i="1"/>
  <c r="P347" i="1"/>
  <c r="K348" i="1"/>
  <c r="L348" i="1"/>
  <c r="M348" i="1"/>
  <c r="N348" i="1"/>
  <c r="O348" i="1"/>
  <c r="P348" i="1"/>
  <c r="K349" i="1"/>
  <c r="L349" i="1"/>
  <c r="M349" i="1"/>
  <c r="N349" i="1"/>
  <c r="O349" i="1"/>
  <c r="P349" i="1"/>
  <c r="K350" i="1"/>
  <c r="L350" i="1"/>
  <c r="M350" i="1"/>
  <c r="N350" i="1"/>
  <c r="O350" i="1"/>
  <c r="P350" i="1"/>
  <c r="K351" i="1"/>
  <c r="L351" i="1"/>
  <c r="M351" i="1"/>
  <c r="N351" i="1"/>
  <c r="O351" i="1"/>
  <c r="P351" i="1"/>
  <c r="K352" i="1"/>
  <c r="L352" i="1"/>
  <c r="M352" i="1"/>
  <c r="N352" i="1"/>
  <c r="O352" i="1"/>
  <c r="P352" i="1"/>
  <c r="K353" i="1"/>
  <c r="L353" i="1"/>
  <c r="M353" i="1"/>
  <c r="N353" i="1"/>
  <c r="O353" i="1"/>
  <c r="P353" i="1"/>
  <c r="K354" i="1"/>
  <c r="L354" i="1"/>
  <c r="M354" i="1"/>
  <c r="N354" i="1"/>
  <c r="O354" i="1"/>
  <c r="P354" i="1"/>
  <c r="K355" i="1"/>
  <c r="L355" i="1"/>
  <c r="M355" i="1"/>
  <c r="N355" i="1"/>
  <c r="O355" i="1"/>
  <c r="P355" i="1"/>
  <c r="K356" i="1"/>
  <c r="L356" i="1"/>
  <c r="M356" i="1"/>
  <c r="N356" i="1"/>
  <c r="O356" i="1"/>
  <c r="P356" i="1"/>
  <c r="K3" i="1"/>
  <c r="L3" i="1"/>
  <c r="M3" i="1"/>
  <c r="N3" i="1"/>
  <c r="O3" i="1"/>
  <c r="P3" i="1"/>
  <c r="C7" i="8"/>
  <c r="D7" i="8" s="1"/>
  <c r="N2" i="1"/>
  <c r="M2" i="1"/>
  <c r="L2" i="1"/>
  <c r="K2" i="1"/>
  <c r="B24" i="7"/>
  <c r="D24" i="7" s="1"/>
  <c r="B23" i="7"/>
  <c r="D23" i="7" s="1"/>
  <c r="B22" i="7"/>
  <c r="D22" i="7" s="1"/>
  <c r="B21" i="7"/>
  <c r="D21" i="7" s="1"/>
  <c r="B20" i="7"/>
  <c r="D20" i="7" s="1"/>
  <c r="B19" i="7"/>
  <c r="D19" i="7" s="1"/>
  <c r="B18" i="7"/>
  <c r="D18" i="7" s="1"/>
  <c r="B17" i="7"/>
  <c r="D17" i="7" s="1"/>
  <c r="B16" i="7"/>
  <c r="D16" i="7" s="1"/>
  <c r="B15" i="7"/>
  <c r="D15" i="7" s="1"/>
  <c r="B14" i="7"/>
  <c r="D14" i="7" s="1"/>
  <c r="B13" i="7"/>
  <c r="D13" i="7" s="1"/>
  <c r="B12" i="7"/>
  <c r="D12" i="7" s="1"/>
  <c r="B11" i="7"/>
  <c r="D11" i="7" s="1"/>
  <c r="B10" i="7"/>
  <c r="D10" i="7" s="1"/>
  <c r="B9" i="7"/>
  <c r="D9" i="7" s="1"/>
  <c r="B8" i="7"/>
  <c r="D8" i="7" s="1"/>
  <c r="B7" i="7"/>
  <c r="D7" i="7" s="1"/>
  <c r="B6" i="7"/>
  <c r="D6" i="7" s="1"/>
  <c r="B5" i="7"/>
  <c r="D5" i="7" s="1"/>
  <c r="B4" i="7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8" i="5"/>
  <c r="B7" i="5"/>
  <c r="B6" i="5"/>
  <c r="B5" i="5"/>
  <c r="B4" i="5"/>
  <c r="B19" i="4"/>
  <c r="E19" i="4" s="1"/>
  <c r="B18" i="4"/>
  <c r="E18" i="4" s="1"/>
  <c r="B17" i="4"/>
  <c r="E17" i="4" s="1"/>
  <c r="B16" i="4"/>
  <c r="E16" i="4" s="1"/>
  <c r="B15" i="4"/>
  <c r="E15" i="4" s="1"/>
  <c r="B14" i="4"/>
  <c r="E14" i="4" s="1"/>
  <c r="B13" i="4"/>
  <c r="E13" i="4" s="1"/>
  <c r="B12" i="4"/>
  <c r="E12" i="4" s="1"/>
  <c r="B11" i="4"/>
  <c r="E11" i="4" s="1"/>
  <c r="B10" i="4"/>
  <c r="E10" i="4" s="1"/>
  <c r="B9" i="4"/>
  <c r="E9" i="4" s="1"/>
  <c r="B8" i="4"/>
  <c r="E8" i="4" s="1"/>
  <c r="B7" i="4"/>
  <c r="E7" i="4" s="1"/>
  <c r="B6" i="4"/>
  <c r="E6" i="4" s="1"/>
  <c r="B5" i="4"/>
  <c r="D5" i="4" s="1"/>
  <c r="B4" i="4"/>
  <c r="E4" i="4" s="1"/>
  <c r="B73" i="2"/>
  <c r="B70" i="2"/>
  <c r="B67" i="2"/>
  <c r="B64" i="2"/>
  <c r="Q6" i="2"/>
  <c r="R7" i="2" s="1"/>
  <c r="Y2" i="1"/>
  <c r="P2" i="1"/>
  <c r="O2" i="1"/>
  <c r="D11" i="4" l="1"/>
  <c r="E5" i="4"/>
  <c r="D8" i="4"/>
  <c r="C5" i="5"/>
  <c r="C23" i="7"/>
  <c r="D14" i="4"/>
  <c r="C22" i="6"/>
  <c r="C21" i="6"/>
  <c r="C12" i="6"/>
  <c r="D17" i="4"/>
  <c r="C8" i="5"/>
  <c r="C25" i="3"/>
  <c r="L6" i="2"/>
  <c r="C18" i="3"/>
  <c r="C22" i="3"/>
  <c r="C6" i="6"/>
  <c r="C12" i="7"/>
  <c r="D6" i="3"/>
  <c r="D5" i="3"/>
  <c r="D9" i="3"/>
  <c r="D13" i="3"/>
  <c r="D17" i="3"/>
  <c r="D21" i="3"/>
  <c r="D25" i="3"/>
  <c r="C5" i="4"/>
  <c r="C8" i="4"/>
  <c r="C11" i="4"/>
  <c r="C14" i="4"/>
  <c r="C17" i="4"/>
  <c r="C4" i="5"/>
  <c r="C5" i="6"/>
  <c r="C11" i="6"/>
  <c r="C17" i="6"/>
  <c r="C23" i="6"/>
  <c r="C24" i="7"/>
  <c r="B22" i="3"/>
  <c r="C6" i="3"/>
  <c r="C8" i="7"/>
  <c r="D22" i="3"/>
  <c r="B7" i="3"/>
  <c r="B11" i="3"/>
  <c r="B15" i="3"/>
  <c r="B19" i="3"/>
  <c r="B23" i="3"/>
  <c r="B27" i="3"/>
  <c r="C6" i="4"/>
  <c r="C9" i="4"/>
  <c r="C12" i="4"/>
  <c r="C15" i="4"/>
  <c r="C18" i="4"/>
  <c r="C6" i="5"/>
  <c r="C7" i="6"/>
  <c r="C13" i="6"/>
  <c r="C19" i="6"/>
  <c r="D4" i="8"/>
  <c r="B26" i="3"/>
  <c r="C10" i="3"/>
  <c r="C20" i="7"/>
  <c r="D26" i="3"/>
  <c r="D4" i="7"/>
  <c r="C7" i="3"/>
  <c r="C11" i="3"/>
  <c r="C15" i="3"/>
  <c r="C19" i="3"/>
  <c r="C23" i="3"/>
  <c r="C27" i="3"/>
  <c r="D6" i="4"/>
  <c r="D9" i="4"/>
  <c r="D12" i="4"/>
  <c r="D15" i="4"/>
  <c r="D18" i="4"/>
  <c r="C5" i="7"/>
  <c r="C9" i="7"/>
  <c r="C13" i="7"/>
  <c r="C17" i="7"/>
  <c r="C21" i="7"/>
  <c r="B6" i="3"/>
  <c r="C14" i="3"/>
  <c r="C16" i="7"/>
  <c r="D7" i="3"/>
  <c r="D11" i="3"/>
  <c r="D15" i="3"/>
  <c r="D19" i="3"/>
  <c r="D23" i="3"/>
  <c r="D27" i="3"/>
  <c r="C7" i="5"/>
  <c r="C8" i="6"/>
  <c r="C14" i="6"/>
  <c r="C20" i="6"/>
  <c r="D5" i="8"/>
  <c r="B18" i="3"/>
  <c r="C26" i="3"/>
  <c r="C18" i="6"/>
  <c r="D10" i="3"/>
  <c r="B4" i="3"/>
  <c r="B8" i="3"/>
  <c r="B12" i="3"/>
  <c r="B16" i="3"/>
  <c r="B20" i="3"/>
  <c r="B24" i="3"/>
  <c r="B14" i="3"/>
  <c r="D18" i="3"/>
  <c r="C4" i="3"/>
  <c r="C8" i="3"/>
  <c r="C12" i="3"/>
  <c r="C16" i="3"/>
  <c r="C20" i="3"/>
  <c r="C24" i="3"/>
  <c r="C4" i="4"/>
  <c r="C7" i="4"/>
  <c r="C10" i="4"/>
  <c r="C13" i="4"/>
  <c r="C16" i="4"/>
  <c r="C19" i="4"/>
  <c r="C9" i="6"/>
  <c r="C15" i="6"/>
  <c r="C6" i="7"/>
  <c r="C10" i="7"/>
  <c r="C14" i="7"/>
  <c r="C18" i="7"/>
  <c r="C22" i="7"/>
  <c r="C6" i="8"/>
  <c r="D6" i="8" s="1"/>
  <c r="B10" i="3"/>
  <c r="C4" i="7"/>
  <c r="D4" i="3"/>
  <c r="D8" i="3"/>
  <c r="D12" i="3"/>
  <c r="D16" i="3"/>
  <c r="D20" i="3"/>
  <c r="D24" i="3"/>
  <c r="D4" i="4"/>
  <c r="D7" i="4"/>
  <c r="D10" i="4"/>
  <c r="D13" i="4"/>
  <c r="D16" i="4"/>
  <c r="D19" i="4"/>
  <c r="B6" i="2"/>
  <c r="B5" i="3"/>
  <c r="B9" i="3"/>
  <c r="B13" i="3"/>
  <c r="B17" i="3"/>
  <c r="B21" i="3"/>
  <c r="B25" i="3"/>
  <c r="C4" i="6"/>
  <c r="C10" i="6"/>
  <c r="C16" i="6"/>
  <c r="D14" i="3"/>
  <c r="G6" i="2"/>
  <c r="C5" i="3"/>
  <c r="C9" i="3"/>
  <c r="C13" i="3"/>
  <c r="C17" i="3"/>
  <c r="C21" i="3"/>
  <c r="C7" i="7"/>
  <c r="C11" i="7"/>
  <c r="C15" i="7"/>
  <c r="C19" i="7"/>
</calcChain>
</file>

<file path=xl/sharedStrings.xml><?xml version="1.0" encoding="utf-8"?>
<sst xmlns="http://schemas.openxmlformats.org/spreadsheetml/2006/main" count="444" uniqueCount="204">
  <si>
    <t>Date</t>
  </si>
  <si>
    <t>Time</t>
  </si>
  <si>
    <t>Age</t>
  </si>
  <si>
    <t>History/Mechanism of injury</t>
  </si>
  <si>
    <t>Cause of injury</t>
  </si>
  <si>
    <t>Site</t>
  </si>
  <si>
    <t>Type of program</t>
  </si>
  <si>
    <t>Specific injuries treated</t>
  </si>
  <si>
    <t>Priority Of Pt</t>
  </si>
  <si>
    <t>Hospital Transportation</t>
  </si>
  <si>
    <t>Month</t>
  </si>
  <si>
    <t>Hour</t>
  </si>
  <si>
    <t>Time Period</t>
  </si>
  <si>
    <t>Day of Week</t>
  </si>
  <si>
    <t>Week Number</t>
  </si>
  <si>
    <t>Quarter</t>
  </si>
  <si>
    <t xml:space="preserve">Program type </t>
  </si>
  <si>
    <t>Player-to-Player</t>
  </si>
  <si>
    <t xml:space="preserve">Arm </t>
  </si>
  <si>
    <t xml:space="preserve">5 A side </t>
  </si>
  <si>
    <t xml:space="preserve">Afternoon Program </t>
  </si>
  <si>
    <t>P1</t>
  </si>
  <si>
    <t>NO</t>
  </si>
  <si>
    <t xml:space="preserve">Priority of patient </t>
  </si>
  <si>
    <t xml:space="preserve">Bystander </t>
  </si>
  <si>
    <t>Training</t>
  </si>
  <si>
    <t>P2</t>
  </si>
  <si>
    <t>Yoga</t>
  </si>
  <si>
    <t>P3</t>
  </si>
  <si>
    <t>Girl Skate</t>
  </si>
  <si>
    <t>P4</t>
  </si>
  <si>
    <t xml:space="preserve">Kicking Boxing </t>
  </si>
  <si>
    <t xml:space="preserve">Running with the pack </t>
  </si>
  <si>
    <t>YES</t>
  </si>
  <si>
    <t xml:space="preserve">Dancing </t>
  </si>
  <si>
    <t xml:space="preserve">LFA </t>
  </si>
  <si>
    <t>Morning Show</t>
  </si>
  <si>
    <t xml:space="preserve">Her Game </t>
  </si>
  <si>
    <t xml:space="preserve">FNB Tournament </t>
  </si>
  <si>
    <t>OR Tambo Soncini Games</t>
  </si>
  <si>
    <t>Clinic Stix Morewa Challenge</t>
  </si>
  <si>
    <t xml:space="preserve">Discovery  Challenge </t>
  </si>
  <si>
    <t>Open Play</t>
  </si>
  <si>
    <t xml:space="preserve">Cause  of injury </t>
  </si>
  <si>
    <t xml:space="preserve">Activity </t>
  </si>
  <si>
    <t xml:space="preserve">Equipment </t>
  </si>
  <si>
    <t xml:space="preserve">Enviroment </t>
  </si>
  <si>
    <t>NONE SPORTS CENTER</t>
  </si>
  <si>
    <t>Select Period:</t>
  </si>
  <si>
    <t>Date Range:</t>
  </si>
  <si>
    <t>TOTAL INCIDENTS</t>
  </si>
  <si>
    <t>AVERAGE AGE</t>
  </si>
  <si>
    <t>AMBULANCE CALLS</t>
  </si>
  <si>
    <t>TOP RISK SITE</t>
  </si>
  <si>
    <t>🚨 AUTOMATED SAFETY ALERTS</t>
  </si>
  <si>
    <t>Alert 1: High-Risk Venue</t>
  </si>
  <si>
    <t>Alert 2: Ankle Injuries</t>
  </si>
  <si>
    <t>Alert 3: Player Contact</t>
  </si>
  <si>
    <t>Alert 4: Minor Involvement</t>
  </si>
  <si>
    <t>📋 SAFETY RECOMMENDATIONS</t>
  </si>
  <si>
    <t>IMMEDIATE ACTIONS</t>
  </si>
  <si>
    <t>PREVENTIVE MEASURES</t>
  </si>
  <si>
    <t>• Increase supervision at highest-risk venue</t>
  </si>
  <si>
    <t>• Mandatory warm-up demonstrations</t>
  </si>
  <si>
    <t>• Review ankle support equipment</t>
  </si>
  <si>
    <t>• Pre-activity equipment checks</t>
  </si>
  <si>
    <t>• Enhanced safety briefings</t>
  </si>
  <si>
    <t>• Surface inspection protocols</t>
  </si>
  <si>
    <t>• Install additional signage</t>
  </si>
  <si>
    <t>• Age-appropriate activity segregation</t>
  </si>
  <si>
    <t>• Conduct facility safety audit</t>
  </si>
  <si>
    <t>• Monthly safety training</t>
  </si>
  <si>
    <t>• Review incident response times</t>
  </si>
  <si>
    <t>• Update emergency procedures</t>
  </si>
  <si>
    <t>MONTHLY STATISTICS</t>
  </si>
  <si>
    <t>Total Cases</t>
  </si>
  <si>
    <t>Ambulance</t>
  </si>
  <si>
    <t>Avg Age</t>
  </si>
  <si>
    <t>Jan-24</t>
  </si>
  <si>
    <t>Feb-24</t>
  </si>
  <si>
    <t>Mar-24</t>
  </si>
  <si>
    <t>Apr-24</t>
  </si>
  <si>
    <t>May-24</t>
  </si>
  <si>
    <t>Jun-24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</si>
  <si>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</si>
  <si>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</si>
  <si>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</si>
  <si>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</si>
  <si>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</si>
  <si>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</si>
  <si>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</si>
  <si>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</si>
  <si>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</si>
  <si>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</si>
  <si>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</si>
  <si>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</si>
  <si>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</si>
  <si>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</si>
  <si>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</si>
  <si>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</si>
  <si>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</si>
  <si>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</si>
  <si>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VENUE RISK ANALYSIS</t>
  </si>
  <si>
    <t>Venue</t>
  </si>
  <si>
    <t>Count</t>
  </si>
  <si>
    <t>% of Total</t>
  </si>
  <si>
    <t>Risk Level</t>
  </si>
  <si>
    <t>Status</t>
  </si>
  <si>
    <t>Skate Park</t>
  </si>
  <si>
    <t>Basketball</t>
  </si>
  <si>
    <t>Outdoor gym</t>
  </si>
  <si>
    <t xml:space="preserve">JDI Studio </t>
  </si>
  <si>
    <t>PHINDA Studio</t>
  </si>
  <si>
    <t>PHAMBILI Studio</t>
  </si>
  <si>
    <t xml:space="preserve">11- A side </t>
  </si>
  <si>
    <t>Athletics track</t>
  </si>
  <si>
    <t>Registration area</t>
  </si>
  <si>
    <t xml:space="preserve">Car parking </t>
  </si>
  <si>
    <t>Change Rooms</t>
  </si>
  <si>
    <t>Equipment Rooms</t>
  </si>
  <si>
    <t>1KM RUN/WALK PATH</t>
  </si>
  <si>
    <t>Bleachers</t>
  </si>
  <si>
    <t>P GATE</t>
  </si>
  <si>
    <t>AGE DISTRIBUTION ANALYSIS</t>
  </si>
  <si>
    <t>Age Group</t>
  </si>
  <si>
    <t>Percentage</t>
  </si>
  <si>
    <t>0-12 years</t>
  </si>
  <si>
    <t>13-17 years</t>
  </si>
  <si>
    <t>18-25 years</t>
  </si>
  <si>
    <t>26-35 years</t>
  </si>
  <si>
    <t>36+ years</t>
  </si>
  <si>
    <t>INJURY TYPE ANALYSIS</t>
  </si>
  <si>
    <t>Injury Type</t>
  </si>
  <si>
    <t xml:space="preserve">Head Injury </t>
  </si>
  <si>
    <t xml:space="preserve">Neck Injury </t>
  </si>
  <si>
    <t xml:space="preserve">Facial Injury </t>
  </si>
  <si>
    <t xml:space="preserve">spinal injury </t>
  </si>
  <si>
    <t xml:space="preserve">Shoulder </t>
  </si>
  <si>
    <t xml:space="preserve">Elbow </t>
  </si>
  <si>
    <t xml:space="preserve">Wrist </t>
  </si>
  <si>
    <t xml:space="preserve">Hand </t>
  </si>
  <si>
    <t xml:space="preserve">Upper limb Muscle </t>
  </si>
  <si>
    <t xml:space="preserve">Chest </t>
  </si>
  <si>
    <t xml:space="preserve">Abdominal </t>
  </si>
  <si>
    <t xml:space="preserve">Back </t>
  </si>
  <si>
    <t xml:space="preserve">Hip </t>
  </si>
  <si>
    <t xml:space="preserve">Knee </t>
  </si>
  <si>
    <t xml:space="preserve">Ankle </t>
  </si>
  <si>
    <t xml:space="preserve">Foot </t>
  </si>
  <si>
    <t xml:space="preserve">Lower limb </t>
  </si>
  <si>
    <t xml:space="preserve">General </t>
  </si>
  <si>
    <t xml:space="preserve">Medical </t>
  </si>
  <si>
    <t>INJURY MECHANISM ANALYSIS</t>
  </si>
  <si>
    <t>Mechanism</t>
  </si>
  <si>
    <t>Prevention Priority</t>
  </si>
  <si>
    <t>Player-to-Object</t>
  </si>
  <si>
    <t>Struck by Equipment</t>
  </si>
  <si>
    <t>Slips, Trips and falls</t>
  </si>
  <si>
    <t>Falls from Height</t>
  </si>
  <si>
    <t>Muscle Strains</t>
  </si>
  <si>
    <t>Heat-Related</t>
  </si>
  <si>
    <t>Stress Fractures</t>
  </si>
  <si>
    <t>Tendonitis</t>
  </si>
  <si>
    <t>Incorrect Use</t>
  </si>
  <si>
    <t>Malfunction</t>
  </si>
  <si>
    <t>Poor Lighting</t>
  </si>
  <si>
    <t>Inadequate Signage</t>
  </si>
  <si>
    <t>Cleaning Agents</t>
  </si>
  <si>
    <t>Infections</t>
  </si>
  <si>
    <t>Allergies</t>
  </si>
  <si>
    <t>Harassment or Bullying</t>
  </si>
  <si>
    <t>Performance Pressure</t>
  </si>
  <si>
    <t>Assault</t>
  </si>
  <si>
    <t>Theft</t>
  </si>
  <si>
    <t>Medical</t>
  </si>
  <si>
    <t>TIME OF DAY ANALYSIS</t>
  </si>
  <si>
    <t>Hour Range</t>
  </si>
  <si>
    <t>Morning</t>
  </si>
  <si>
    <t>6:00 - 11:59</t>
  </si>
  <si>
    <t>Afternoon</t>
  </si>
  <si>
    <t>12:00 - 17:59</t>
  </si>
  <si>
    <t>Evening</t>
  </si>
  <si>
    <t>18:00 - 21:59</t>
  </si>
  <si>
    <t>Night</t>
  </si>
  <si>
    <t>22:00 - 5:59</t>
  </si>
  <si>
    <t>All Time</t>
  </si>
  <si>
    <t>Bystander</t>
  </si>
  <si>
    <t>Priority 1</t>
  </si>
  <si>
    <t>Priority 2</t>
  </si>
  <si>
    <t>Priority 3</t>
  </si>
  <si>
    <t>Priority 4</t>
  </si>
  <si>
    <t>Kicking Boxing</t>
  </si>
  <si>
    <t>Running with the pack</t>
  </si>
  <si>
    <t>Dancing</t>
  </si>
  <si>
    <t>LFA</t>
  </si>
  <si>
    <t>Her Game</t>
  </si>
  <si>
    <t>FNB Tournament</t>
  </si>
  <si>
    <t>Discovery  Challenge</t>
  </si>
  <si>
    <t>Afternoon Program</t>
  </si>
  <si>
    <t>Cause  of injury</t>
  </si>
  <si>
    <t>Activity</t>
  </si>
  <si>
    <t>Equipment</t>
  </si>
  <si>
    <t>Enviroment</t>
  </si>
  <si>
    <t>SHAPA NIKE SOWETO MEDICAL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</si>
</sst>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24"/>
      <color rgb="FFFFFFFF"/>
      <name val="Arial Black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36"/>
      <color rgb="FFFFFFFF"/>
      <name val="Calibri"/>
      <family val="2"/>
    </font>
    <font>
      <b/>
      <sz val="18"/>
      <color rgb="FFFFFFFF"/>
      <name val="Calibri"/>
      <family val="2"/>
    </font>
    <font>
      <b/>
      <sz val="14"/>
      <color rgb="FFFFFFFF"/>
      <name val="Calibri"/>
      <family val="2"/>
    </font>
    <font>
      <b/>
      <sz val="16"/>
      <color rgb="FFFFFFFF"/>
      <name val="Calibri"/>
      <family val="2"/>
    </font>
    <font>
      <b/>
      <sz val="16"/>
      <name val="Calibri"/>
      <family val="2"/>
    </font>
    <font>
      <b/>
      <sz val="14"/>
      <name val="Calibri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Segoe UI"/>
      <family val="2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8" fillId="0" borderId="0" xfId="0" applyFont="1"/>
    <xf numFmtId="0" fontId="9" fillId="0" borderId="0" xfId="0" applyFont="1"/>
    <xf numFmtId="0" fontId="10" fillId="8" borderId="4" xfId="0" applyFont="1" applyFill="1" applyBorder="1"/>
    <xf numFmtId="16" fontId="0" fillId="0" borderId="0" xfId="0" applyNumberFormat="1"/>
    <xf numFmtId="20" fontId="0" fillId="0" borderId="0" xfId="0" applyNumberFormat="1"/>
    <xf numFmtId="0" fontId="12" fillId="0" borderId="0" xfId="0" applyFont="1"/>
    <xf numFmtId="0" fontId="13" fillId="0" borderId="0" xfId="0" applyFont="1"/>
    <xf numFmtId="14" fontId="0" fillId="0" borderId="0" xfId="0" applyNumberFormat="1"/>
    <xf numFmtId="14" fontId="0" fillId="9" borderId="5" xfId="0" applyNumberFormat="1" applyFill="1" applyBorder="1"/>
    <xf numFmtId="0" fontId="5" fillId="7" borderId="0" xfId="0" applyFont="1" applyFill="1" applyAlignment="1">
      <alignment horizontal="center"/>
    </xf>
    <xf numFmtId="0" fontId="0" fillId="0" borderId="0" xfId="0"/>
    <xf numFmtId="0" fontId="7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'Venue Analysis'!$B$3</c:f>
              <c:strCache>
                <c:ptCount val="1"/>
                <c:pt idx="0">
                  <c:v>Count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  <a:sp3d contourW="9525">
              <a:contourClr>
                <a:schemeClr val="accent1">
                  <a:shade val="95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'Venue Analysis'!$A$4:$A$19</c:f>
              <c:strCache>
                <c:ptCount val="16"/>
                <c:pt idx="0">
                  <c:v>Skate Park</c:v>
                </c:pt>
                <c:pt idx="1">
                  <c:v>5 A side </c:v>
                </c:pt>
                <c:pt idx="2">
                  <c:v>Basketball</c:v>
                </c:pt>
                <c:pt idx="3">
                  <c:v>Outdoor gym</c:v>
                </c:pt>
                <c:pt idx="4">
                  <c:v>JDI Studio </c:v>
                </c:pt>
                <c:pt idx="5">
                  <c:v>PHINDA Studio</c:v>
                </c:pt>
                <c:pt idx="6">
                  <c:v>PHAMBILI Studio</c:v>
                </c:pt>
                <c:pt idx="7">
                  <c:v>11- A side </c:v>
                </c:pt>
                <c:pt idx="8">
                  <c:v>Athletics track</c:v>
                </c:pt>
                <c:pt idx="9">
                  <c:v>Registration area</c:v>
                </c:pt>
                <c:pt idx="10">
                  <c:v>Car parking </c:v>
                </c:pt>
                <c:pt idx="11">
                  <c:v>Change Rooms</c:v>
                </c:pt>
                <c:pt idx="12">
                  <c:v>Equipment Rooms</c:v>
                </c:pt>
                <c:pt idx="13">
                  <c:v>1KM RUN/WALK PATH</c:v>
                </c:pt>
                <c:pt idx="14">
                  <c:v>Bleachers</c:v>
                </c:pt>
                <c:pt idx="15">
                  <c:v>P GATE</c:v>
                </c:pt>
              </c:strCache>
            </c:strRef>
          </c:cat>
          <c:val>
            <c:numRef>
              <c:f>'Venue Analysis'!$B$4:$B$19</c:f>
              <c:numCache>
                <c:formatCode>General</c:formatCode>
                <c:ptCount val="16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01-4981-BFB6-536CD0BF76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0"/>
        <c:axId val="100"/>
        <c:axId val="0"/>
      </c:bar3D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'Age Analysis'!$B$3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1-794C-4BA5-8CCF-1698EDD393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794C-4BA5-8CCF-1698EDD393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794C-4BA5-8CCF-1698EDD393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794C-4BA5-8CCF-1698EDD393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794C-4BA5-8CCF-1698EDD393DC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794C-4BA5-8CCF-1698EDD393DC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794C-4BA5-8CCF-1698EDD393DC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94C-4BA5-8CCF-1698EDD393DC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794C-4BA5-8CCF-1698EDD393DC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794C-4BA5-8CCF-1698EDD393DC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'Age Analysis'!$A$4:$A$8</c:f>
              <c:strCache>
                <c:ptCount val="5"/>
                <c:pt idx="0">
                  <c:v>0-12 years</c:v>
                </c:pt>
                <c:pt idx="1">
                  <c:v>13-17 years</c:v>
                </c:pt>
                <c:pt idx="2">
                  <c:v>18-25 years</c:v>
                </c:pt>
                <c:pt idx="3">
                  <c:v>26-35 years</c:v>
                </c:pt>
                <c:pt idx="4">
                  <c:v>36+ years</c:v>
                </c:pt>
              </c:strCache>
            </c:strRef>
          </c:cat>
          <c:val>
            <c:numRef>
              <c:f>'Age Analysis'!$B$4:$B$8</c:f>
              <c:numCache>
                <c:formatCode>General</c:formatCode>
                <c:ptCount val="5"/>
                <c:pt idx="0">
                  <c:v>4</c:v>
                </c:pt>
                <c:pt idx="1">
                  <c:v>11</c:v>
                </c:pt>
                <c:pt idx="2">
                  <c:v>11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C-4BA5-8CCF-1698EDD393DC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'Injury Analysis'!$A$4</c:f>
              <c:strCache>
                <c:ptCount val="1"/>
                <c:pt idx="0">
                  <c:v>Head Injury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Analysis'!$B$4:$C$4</c15:sqref>
                  </c15:fullRef>
                </c:ext>
              </c:extLst>
              <c:f>'Injury Analysis'!$B$4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40-433D-9BE5-D1193658D475}"/>
            </c:ext>
          </c:extLst>
        </c:ser>
        <c:ser>
          <c:idx val="2"/>
          <c:order val="2"/>
          <c:tx>
            <c:strRef>
              <c:f>'Injury Analysis'!$A$6</c:f>
              <c:strCache>
                <c:ptCount val="1"/>
                <c:pt idx="0">
                  <c:v>Facial Injury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Analysis'!$B$6:$C$6</c15:sqref>
                  </c15:fullRef>
                </c:ext>
              </c:extLst>
              <c:f>'Injury Analysis'!$B$6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E40-433D-9BE5-D1193658D475}"/>
            </c:ext>
          </c:extLst>
        </c:ser>
        <c:ser>
          <c:idx val="3"/>
          <c:order val="3"/>
          <c:tx>
            <c:strRef>
              <c:f>'Injury Analysis'!$A$7</c:f>
              <c:strCache>
                <c:ptCount val="1"/>
                <c:pt idx="0">
                  <c:v>spinal injury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Analysis'!$B$7:$C$7</c15:sqref>
                  </c15:fullRef>
                </c:ext>
              </c:extLst>
              <c:f>'Injury Analysis'!$B$7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DE40-433D-9BE5-D1193658D475}"/>
            </c:ext>
          </c:extLst>
        </c:ser>
        <c:ser>
          <c:idx val="4"/>
          <c:order val="4"/>
          <c:tx>
            <c:strRef>
              <c:f>'Injury Analysis'!$A$8</c:f>
              <c:strCache>
                <c:ptCount val="1"/>
                <c:pt idx="0">
                  <c:v>Shoulder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Analysis'!$B$8:$C$8</c15:sqref>
                  </c15:fullRef>
                </c:ext>
              </c:extLst>
              <c:f>'Injury Analysis'!$B$8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E40-433D-9BE5-D1193658D475}"/>
            </c:ext>
          </c:extLst>
        </c:ser>
        <c:ser>
          <c:idx val="5"/>
          <c:order val="5"/>
          <c:tx>
            <c:strRef>
              <c:f>'Injury Analysis'!$A$9</c:f>
              <c:strCache>
                <c:ptCount val="1"/>
                <c:pt idx="0">
                  <c:v>Elbow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Analysis'!$B$9:$C$9</c15:sqref>
                  </c15:fullRef>
                </c:ext>
              </c:extLst>
              <c:f>'Injury Analysis'!$B$9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DE40-433D-9BE5-D1193658D475}"/>
            </c:ext>
          </c:extLst>
        </c:ser>
        <c:ser>
          <c:idx val="6"/>
          <c:order val="6"/>
          <c:tx>
            <c:strRef>
              <c:f>'Injury Analysis'!$A$10</c:f>
              <c:strCache>
                <c:ptCount val="1"/>
                <c:pt idx="0">
                  <c:v>Wrist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Analysis'!$B$10:$C$10</c15:sqref>
                  </c15:fullRef>
                </c:ext>
              </c:extLst>
              <c:f>'Injury Analysis'!$B$10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E40-433D-9BE5-D1193658D475}"/>
            </c:ext>
          </c:extLst>
        </c:ser>
        <c:ser>
          <c:idx val="7"/>
          <c:order val="7"/>
          <c:tx>
            <c:strRef>
              <c:f>'Injury Analysis'!$A$11</c:f>
              <c:strCache>
                <c:ptCount val="1"/>
                <c:pt idx="0">
                  <c:v>Hand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Analysis'!$B$11:$C$11</c15:sqref>
                  </c15:fullRef>
                </c:ext>
              </c:extLst>
              <c:f>'Injury Analysis'!$B$11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DE40-433D-9BE5-D1193658D475}"/>
            </c:ext>
          </c:extLst>
        </c:ser>
        <c:ser>
          <c:idx val="8"/>
          <c:order val="8"/>
          <c:tx>
            <c:strRef>
              <c:f>'Injury Analysis'!$A$12</c:f>
              <c:strCache>
                <c:ptCount val="1"/>
                <c:pt idx="0">
                  <c:v>Arm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Analysis'!$B$12:$C$12</c15:sqref>
                  </c15:fullRef>
                </c:ext>
              </c:extLst>
              <c:f>'Injury Analysis'!$B$12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DE40-433D-9BE5-D1193658D475}"/>
            </c:ext>
          </c:extLst>
        </c:ser>
        <c:ser>
          <c:idx val="9"/>
          <c:order val="9"/>
          <c:tx>
            <c:strRef>
              <c:f>'Injury Analysis'!$A$13</c:f>
              <c:strCache>
                <c:ptCount val="1"/>
                <c:pt idx="0">
                  <c:v>Upper limb Muscle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Analysis'!$B$13:$C$13</c15:sqref>
                  </c15:fullRef>
                </c:ext>
              </c:extLst>
              <c:f>'Injury Analysis'!$B$13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DE40-433D-9BE5-D1193658D475}"/>
            </c:ext>
          </c:extLst>
        </c:ser>
        <c:ser>
          <c:idx val="10"/>
          <c:order val="10"/>
          <c:tx>
            <c:strRef>
              <c:f>'Injury Analysis'!$A$14</c:f>
              <c:strCache>
                <c:ptCount val="1"/>
                <c:pt idx="0">
                  <c:v>Chest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Analysis'!$B$14:$C$14</c15:sqref>
                  </c15:fullRef>
                </c:ext>
              </c:extLst>
              <c:f>'Injury Analysis'!$B$14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DE40-433D-9BE5-D1193658D475}"/>
            </c:ext>
          </c:extLst>
        </c:ser>
        <c:ser>
          <c:idx val="11"/>
          <c:order val="11"/>
          <c:tx>
            <c:strRef>
              <c:f>'Injury Analysis'!$A$15</c:f>
              <c:strCache>
                <c:ptCount val="1"/>
                <c:pt idx="0">
                  <c:v>Abdominal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Analysis'!$B$15:$C$15</c15:sqref>
                  </c15:fullRef>
                </c:ext>
              </c:extLst>
              <c:f>'Injury Analysis'!$B$15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DE40-433D-9BE5-D1193658D475}"/>
            </c:ext>
          </c:extLst>
        </c:ser>
        <c:ser>
          <c:idx val="12"/>
          <c:order val="12"/>
          <c:tx>
            <c:strRef>
              <c:f>'Injury Analysis'!$A$16</c:f>
              <c:strCache>
                <c:ptCount val="1"/>
                <c:pt idx="0">
                  <c:v>Back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Analysis'!$B$16:$C$16</c15:sqref>
                  </c15:fullRef>
                </c:ext>
              </c:extLst>
              <c:f>'Injury Analysis'!$B$16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DE40-433D-9BE5-D1193658D475}"/>
            </c:ext>
          </c:extLst>
        </c:ser>
        <c:ser>
          <c:idx val="13"/>
          <c:order val="13"/>
          <c:tx>
            <c:strRef>
              <c:f>'Injury Analysis'!$A$17</c:f>
              <c:strCache>
                <c:ptCount val="1"/>
                <c:pt idx="0">
                  <c:v>Hip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Analysis'!$B$17:$C$17</c15:sqref>
                  </c15:fullRef>
                </c:ext>
              </c:extLst>
              <c:f>'Injury Analysis'!$B$17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DE40-433D-9BE5-D1193658D475}"/>
            </c:ext>
          </c:extLst>
        </c:ser>
        <c:ser>
          <c:idx val="14"/>
          <c:order val="14"/>
          <c:tx>
            <c:strRef>
              <c:f>'Injury Analysis'!$A$18</c:f>
              <c:strCache>
                <c:ptCount val="1"/>
                <c:pt idx="0">
                  <c:v>Knee 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Analysis'!$B$18:$C$18</c15:sqref>
                  </c15:fullRef>
                </c:ext>
              </c:extLst>
              <c:f>'Injury Analysis'!$B$18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DE40-433D-9BE5-D1193658D475}"/>
            </c:ext>
          </c:extLst>
        </c:ser>
        <c:ser>
          <c:idx val="15"/>
          <c:order val="15"/>
          <c:tx>
            <c:strRef>
              <c:f>'Injury Analysis'!$A$19</c:f>
              <c:strCache>
                <c:ptCount val="1"/>
                <c:pt idx="0">
                  <c:v>Ankle 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Analysis'!$B$19:$C$19</c15:sqref>
                  </c15:fullRef>
                </c:ext>
              </c:extLst>
              <c:f>'Injury Analysis'!$B$19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DE40-433D-9BE5-D1193658D475}"/>
            </c:ext>
          </c:extLst>
        </c:ser>
        <c:ser>
          <c:idx val="16"/>
          <c:order val="16"/>
          <c:tx>
            <c:strRef>
              <c:f>'Injury Analysis'!$A$20</c:f>
              <c:strCache>
                <c:ptCount val="1"/>
                <c:pt idx="0">
                  <c:v>Foot 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Analysis'!$B$20:$C$20</c15:sqref>
                  </c15:fullRef>
                </c:ext>
              </c:extLst>
              <c:f>'Injury Analysis'!$B$20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DE40-433D-9BE5-D1193658D475}"/>
            </c:ext>
          </c:extLst>
        </c:ser>
        <c:ser>
          <c:idx val="17"/>
          <c:order val="17"/>
          <c:tx>
            <c:strRef>
              <c:f>'Injury Analysis'!$A$21</c:f>
              <c:strCache>
                <c:ptCount val="1"/>
                <c:pt idx="0">
                  <c:v>Lower limb 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Analysis'!$B$21:$C$21</c15:sqref>
                  </c15:fullRef>
                </c:ext>
              </c:extLst>
              <c:f>'Injury Analysis'!$B$21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DE40-433D-9BE5-D1193658D475}"/>
            </c:ext>
          </c:extLst>
        </c:ser>
        <c:ser>
          <c:idx val="18"/>
          <c:order val="18"/>
          <c:tx>
            <c:strRef>
              <c:f>'Injury Analysis'!$A$22</c:f>
              <c:strCache>
                <c:ptCount val="1"/>
                <c:pt idx="0">
                  <c:v>General 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Analysis'!$B$22:$C$22</c15:sqref>
                  </c15:fullRef>
                </c:ext>
              </c:extLst>
              <c:f>'Injury Analysis'!$B$22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DE40-433D-9BE5-D1193658D475}"/>
            </c:ext>
          </c:extLst>
        </c:ser>
        <c:ser>
          <c:idx val="19"/>
          <c:order val="19"/>
          <c:tx>
            <c:strRef>
              <c:f>'Injury Analysis'!$A$23</c:f>
              <c:strCache>
                <c:ptCount val="1"/>
                <c:pt idx="0">
                  <c:v>Medical 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Analysis'!$B$23:$C$23</c15:sqref>
                  </c15:fullRef>
                </c:ext>
              </c:extLst>
              <c:f>'Injury Analysis'!$B$23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E40-433D-9BE5-D1193658D475}"/>
            </c:ext>
          </c:extLst>
        </c:ser>
        <c:ser>
          <c:idx val="1"/>
          <c:order val="1"/>
          <c:tx>
            <c:strRef>
              <c:f>'Injury Analysis'!$A$5</c:f>
              <c:strCache>
                <c:ptCount val="1"/>
                <c:pt idx="0">
                  <c:v>Neck Injury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'Injury Analysis'!$B$3:$C$3</c15:sqref>
                  </c15:fullRef>
                </c:ext>
              </c:extLst>
              <c:f>'Injury Analysis'!$B$3</c:f>
              <c:strCache>
                <c:ptCount val="1"/>
                <c:pt idx="0">
                  <c:v>Count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'Injury Analysis'!$B$5:$C$5</c15:sqref>
                  </c15:fullRef>
                </c:ext>
              </c:extLst>
              <c:f>'Injury Analysis'!$B$5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40-433D-9BE5-D1193658D4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0"/>
        <c:axId val="100"/>
        <c:axId val="0"/>
      </c:bar3D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'Mechanism Analysis'!$B$3</c:f>
              <c:strCache>
                <c:ptCount val="1"/>
                <c:pt idx="0">
                  <c:v>Count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'Mechanism Analysis'!$A$4:$A$24</c:f>
              <c:strCache>
                <c:ptCount val="21"/>
                <c:pt idx="0">
                  <c:v>Player-to-Player</c:v>
                </c:pt>
                <c:pt idx="1">
                  <c:v>Player-to-Object</c:v>
                </c:pt>
                <c:pt idx="2">
                  <c:v>Struck by Equipment</c:v>
                </c:pt>
                <c:pt idx="3">
                  <c:v>Slips, Trips and falls</c:v>
                </c:pt>
                <c:pt idx="4">
                  <c:v>Falls from Height</c:v>
                </c:pt>
                <c:pt idx="5">
                  <c:v>Muscle Strains</c:v>
                </c:pt>
                <c:pt idx="6">
                  <c:v>Heat-Related</c:v>
                </c:pt>
                <c:pt idx="7">
                  <c:v>Stress Fractures</c:v>
                </c:pt>
                <c:pt idx="8">
                  <c:v>Tendonitis</c:v>
                </c:pt>
                <c:pt idx="9">
                  <c:v>Incorrect Use</c:v>
                </c:pt>
                <c:pt idx="10">
                  <c:v>Malfunction</c:v>
                </c:pt>
                <c:pt idx="11">
                  <c:v>Poor Lighting</c:v>
                </c:pt>
                <c:pt idx="12">
                  <c:v>Inadequate Signage</c:v>
                </c:pt>
                <c:pt idx="13">
                  <c:v>Cleaning Agents</c:v>
                </c:pt>
                <c:pt idx="14">
                  <c:v>Infections</c:v>
                </c:pt>
                <c:pt idx="15">
                  <c:v>Allergies</c:v>
                </c:pt>
                <c:pt idx="16">
                  <c:v>Harassment or Bullying</c:v>
                </c:pt>
                <c:pt idx="17">
                  <c:v>Performance Pressure</c:v>
                </c:pt>
                <c:pt idx="18">
                  <c:v>Assault</c:v>
                </c:pt>
                <c:pt idx="19">
                  <c:v>Theft</c:v>
                </c:pt>
                <c:pt idx="20">
                  <c:v>Medical</c:v>
                </c:pt>
              </c:strCache>
            </c:strRef>
          </c:cat>
          <c:val>
            <c:numRef>
              <c:f>'Mechanism Analysis'!$B$4:$B$24</c:f>
              <c:numCache>
                <c:formatCode>General</c:formatCode>
                <c:ptCount val="21"/>
                <c:pt idx="0">
                  <c:v>12</c:v>
                </c:pt>
                <c:pt idx="1">
                  <c:v>2</c:v>
                </c:pt>
                <c:pt idx="2">
                  <c:v>2</c:v>
                </c:pt>
                <c:pt idx="3">
                  <c:v>6</c:v>
                </c:pt>
                <c:pt idx="4">
                  <c:v>0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0-407A-9BD1-0B8C7564C3B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gapDepth val="0"/>
        <c:shape val="box"/>
        <c:axId val="10"/>
        <c:axId val="100"/>
        <c:axId val="0"/>
      </c:bar3D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'Time Analysis'!$C$3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multiLvlStrRef>
              <c:f>'Time Analysis'!$A$4:$B$7</c:f>
              <c:multiLvlStrCache>
                <c:ptCount val="4"/>
                <c:lvl>
                  <c:pt idx="0">
                    <c:v>6:00 - 11:59</c:v>
                  </c:pt>
                  <c:pt idx="1">
                    <c:v>12:00 - 17:59</c:v>
                  </c:pt>
                  <c:pt idx="2">
                    <c:v>18:00 - 21:59</c:v>
                  </c:pt>
                  <c:pt idx="3">
                    <c:v>22:00 - 5:59</c:v>
                  </c:pt>
                </c:lvl>
                <c:lvl>
                  <c:pt idx="0">
                    <c:v>Morning</c:v>
                  </c:pt>
                  <c:pt idx="1">
                    <c:v>Afternoon</c:v>
                  </c:pt>
                  <c:pt idx="2">
                    <c:v>Evening</c:v>
                  </c:pt>
                  <c:pt idx="3">
                    <c:v>Night</c:v>
                  </c:pt>
                </c:lvl>
              </c:multiLvlStrCache>
            </c:multiLvlStrRef>
          </c:cat>
          <c:val>
            <c:numRef>
              <c:f>'Time Analysis'!$C$4:$C$7</c:f>
              <c:numCache>
                <c:formatCode>General</c:formatCode>
                <c:ptCount val="4"/>
                <c:pt idx="0">
                  <c:v>4</c:v>
                </c:pt>
                <c:pt idx="1">
                  <c:v>12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C-450B-9374-C79E812746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Stats'!$B$3</c:f>
              <c:strCache>
                <c:ptCount val="1"/>
                <c:pt idx="0">
                  <c:v>Total Cases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'Monthly Stats'!$A$4:$A$27</c:f>
              <c:strCache>
                <c:ptCount val="24"/>
                <c:pt idx="0">
                  <c:v>Jan-24</c:v>
                </c:pt>
                <c:pt idx="1">
                  <c:v>Feb-24</c:v>
                </c:pt>
                <c:pt idx="2">
                  <c:v>Mar-24</c:v>
                </c:pt>
                <c:pt idx="3">
                  <c:v>Apr-24</c:v>
                </c:pt>
                <c:pt idx="4">
                  <c:v>May-24</c:v>
                </c:pt>
                <c:pt idx="5">
                  <c:v>Jun-24</c:v>
                </c:pt>
                <c:pt idx="6">
                  <c:v>Jul-24</c:v>
                </c:pt>
                <c:pt idx="7">
                  <c:v>Aug-24</c:v>
                </c:pt>
                <c:pt idx="8">
                  <c:v>Sep-24</c:v>
                </c:pt>
                <c:pt idx="9">
                  <c:v>Oct-24</c:v>
                </c:pt>
                <c:pt idx="10">
                  <c:v>Nov-24</c:v>
                </c:pt>
                <c:pt idx="11">
                  <c:v>Dec-24</c:v>
                </c:pt>
                <c:pt idx="12">
                  <c:v>Jan-25</c:v>
                </c:pt>
                <c:pt idx="13">
                  <c:v>Feb-25</c:v>
                </c:pt>
                <c:pt idx="14">
                  <c:v>Mar-25</c:v>
                </c:pt>
                <c:pt idx="15">
                  <c:v>Apr-25</c:v>
                </c:pt>
                <c:pt idx="16">
                  <c:v>May-25</c:v>
                </c:pt>
                <c:pt idx="17">
                  <c:v>Jun-25</c:v>
                </c:pt>
                <c:pt idx="18">
                  <c:v>Jul-25</c:v>
                </c:pt>
                <c:pt idx="19">
                  <c:v>Aug-25</c:v>
                </c:pt>
                <c:pt idx="20">
                  <c:v>Sep-25</c:v>
                </c:pt>
                <c:pt idx="21">
                  <c:v>Oct-25</c:v>
                </c:pt>
                <c:pt idx="22">
                  <c:v>Nov-25</c:v>
                </c:pt>
                <c:pt idx="23">
                  <c:v>Dec-25</c:v>
                </c:pt>
              </c:strCache>
            </c:strRef>
          </c:cat>
          <c:val>
            <c:numRef>
              <c:f>'Monthly Stats'!$B$4:$B$27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16</c:v>
                </c:pt>
                <c:pt idx="21">
                  <c:v>11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7B-408C-BF0F-37F01DC9E64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28575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26</xdr:row>
      <xdr:rowOff>0</xdr:rowOff>
    </xdr:from>
    <xdr:ext cx="540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7</xdr:col>
      <xdr:colOff>0</xdr:colOff>
      <xdr:row>26</xdr:row>
      <xdr:rowOff>0</xdr:rowOff>
    </xdr:from>
    <xdr:ext cx="540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540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7</xdr:col>
      <xdr:colOff>0</xdr:colOff>
      <xdr:row>43</xdr:row>
      <xdr:rowOff>0</xdr:rowOff>
    </xdr:from>
    <xdr:ext cx="5400000" cy="27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dicalData" displayName="MedicalData" ref="A1:P356">
  <autoFilter ref="A1:P356" xr:uid="{00000000-0009-0000-0100-000001000000}"/>
  <tableColumns count="16">
    <tableColumn id="1" xr3:uid="{00000000-0010-0000-0000-000001000000}" name="Date"/>
    <tableColumn id="2" xr3:uid="{00000000-0010-0000-0000-000002000000}" name="Time"/>
    <tableColumn id="3" xr3:uid="{00000000-0010-0000-0000-000003000000}" name="Age"/>
    <tableColumn id="4" xr3:uid="{00000000-0010-0000-0000-000004000000}" name="History/Mechanism of injury"/>
    <tableColumn id="5" xr3:uid="{00000000-0010-0000-0000-000005000000}" name="Cause of injury"/>
    <tableColumn id="6" xr3:uid="{00000000-0010-0000-0000-000006000000}" name="Site"/>
    <tableColumn id="7" xr3:uid="{00000000-0010-0000-0000-000007000000}" name="Type of program"/>
    <tableColumn id="8" xr3:uid="{00000000-0010-0000-0000-000008000000}" name="Specific injuries treated"/>
    <tableColumn id="9" xr3:uid="{00000000-0010-0000-0000-000009000000}" name="Priority Of Pt"/>
    <tableColumn id="10" xr3:uid="{00000000-0010-0000-0000-00000A000000}" name="Hospital Transportation"/>
    <tableColumn id="11" xr3:uid="{00000000-0010-0000-0000-00000B000000}" name="Month">
      <calculatedColumnFormula>TEXT(A2,"MMM-YY")</calculatedColumnFormula>
    </tableColumn>
    <tableColumn id="12" xr3:uid="{00000000-0010-0000-0000-00000C000000}" name="Hour">
      <calculatedColumnFormula>HOUR(MedicalData[[#This Row],[Time]])</calculatedColumnFormula>
    </tableColumn>
    <tableColumn id="13" xr3:uid="{00000000-0010-0000-0000-00000D000000}" name="Time Period">
      <calculatedColumnFormula xml:space="preserve">  IF(_xleta.HOUR&lt;6,"Night",IF(_xleta.HOUR&lt;12,"Morning",IF(_xleta.HOUR&lt;18,"Afternoon","Evening")))</calculatedColumnFormula>
    </tableColumn>
    <tableColumn id="14" xr3:uid="{00000000-0010-0000-0000-00000E000000}" name="Day of Week">
      <calculatedColumnFormula>TEXT(#REF!,"DDD")</calculatedColumnFormula>
    </tableColumn>
    <tableColumn id="15" xr3:uid="{00000000-0010-0000-0000-00000F000000}" name="Week Number">
      <calculatedColumnFormula>WEEKNUM(#REF!)</calculatedColumnFormula>
    </tableColumn>
    <tableColumn id="16" xr3:uid="{00000000-0010-0000-0000-000010000000}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56"/>
  <sheetViews>
    <sheetView workbookViewId="0">
      <pane ySplit="1" topLeftCell="A2" activePane="bottomLeft" state="frozen"/>
      <selection pane="bottomLeft" activeCell="A29" sqref="A29"/>
    </sheetView>
  </sheetViews>
  <sheetFormatPr defaultRowHeight="15" x14ac:dyDescent="0.25"/>
  <cols>
    <col min="1" max="1" width="12" customWidth="1"/>
    <col min="2" max="2" width="10" customWidth="1"/>
    <col min="3" max="3" width="8" customWidth="1"/>
    <col min="4" max="4" width="24.85546875" customWidth="1"/>
    <col min="5" max="6" width="18" customWidth="1"/>
    <col min="7" max="7" width="20" customWidth="1"/>
    <col min="8" max="8" width="21.28515625" customWidth="1"/>
    <col min="9" max="9" width="5.42578125" customWidth="1"/>
    <col min="10" max="10" width="5.5703125" customWidth="1"/>
    <col min="11" max="11" width="12" customWidth="1"/>
    <col min="12" max="12" width="8" customWidth="1"/>
    <col min="13" max="14" width="14" customWidth="1"/>
    <col min="15" max="15" width="12" customWidth="1"/>
    <col min="23" max="23" width="13.28515625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W1" t="s">
        <v>0</v>
      </c>
      <c r="X1" t="s">
        <v>16</v>
      </c>
      <c r="Y1" t="s">
        <v>15</v>
      </c>
    </row>
    <row r="2" spans="1:26" x14ac:dyDescent="0.25">
      <c r="A2" s="18">
        <v>45902</v>
      </c>
      <c r="B2" s="15">
        <v>0.69444444444444442</v>
      </c>
      <c r="C2">
        <v>22</v>
      </c>
      <c r="D2" t="s">
        <v>17</v>
      </c>
      <c r="E2" t="s">
        <v>44</v>
      </c>
      <c r="F2" t="s">
        <v>19</v>
      </c>
      <c r="G2" t="s">
        <v>20</v>
      </c>
      <c r="H2" t="s">
        <v>18</v>
      </c>
      <c r="I2" t="s">
        <v>28</v>
      </c>
      <c r="J2" t="s">
        <v>22</v>
      </c>
      <c r="K2" t="str">
        <f>TEXT(A2,"MMM-YY")</f>
        <v>Sept-25</v>
      </c>
      <c r="L2">
        <f>HOUR(MedicalData[[#This Row],[Time]])</f>
        <v>16</v>
      </c>
      <c r="M2" t="e">
        <f xml:space="preserve">  IF(_xleta.HOUR&lt;6,"Night",IF(_xleta.HOUR&lt;12,"Morning",IF(_xleta.HOUR&lt;18,"Afternoon","Evening")))</f>
        <v>#VALUE!</v>
      </c>
      <c r="N2" t="e">
        <f>TEXT(#REF!,"DDD")</f>
        <v>#REF!</v>
      </c>
      <c r="O2" t="e">
        <f>WEEKNUM(#REF!)</f>
        <v>#REF!</v>
      </c>
      <c r="P2" t="e">
        <f>INDEX({"Q3","Q3","Q4","Q4","Q4","Q1","Q1","Q1","Q2","Q2","Q2","Q3"},MONTH(#REF!))</f>
        <v>#REF!</v>
      </c>
      <c r="U2" t="s">
        <v>23</v>
      </c>
      <c r="W2" s="19">
        <v>45931</v>
      </c>
      <c r="X2" t="s">
        <v>24</v>
      </c>
      <c r="Y2" t="e">
        <f>INDEX({"Q3","Q3","Q4","Q4","Q4","Q1","Q1","Q1","Q2","Q2","Q2","Q3"},MONTH(#REF!))</f>
        <v>#REF!</v>
      </c>
      <c r="Z2" t="s">
        <v>44</v>
      </c>
    </row>
    <row r="3" spans="1:26" x14ac:dyDescent="0.25">
      <c r="A3" s="18">
        <v>45906</v>
      </c>
      <c r="B3" s="15">
        <v>0.55902777777777779</v>
      </c>
      <c r="C3">
        <v>10</v>
      </c>
      <c r="D3" t="s">
        <v>17</v>
      </c>
      <c r="E3" t="s">
        <v>44</v>
      </c>
      <c r="F3" t="s">
        <v>19</v>
      </c>
      <c r="G3" t="s">
        <v>42</v>
      </c>
      <c r="H3" t="s">
        <v>146</v>
      </c>
      <c r="I3" t="s">
        <v>28</v>
      </c>
      <c r="J3" t="s">
        <v>22</v>
      </c>
      <c r="K3" t="str">
        <f t="shared" ref="K3:K4" si="0">TEXT(A3,"MMM-YY")</f>
        <v>Sept-25</v>
      </c>
      <c r="L3">
        <f>HOUR(MedicalData[[#This Row],[Time]])</f>
        <v>13</v>
      </c>
      <c r="M3" t="e">
        <f t="shared" ref="M3:M66" si="1" xml:space="preserve">  IF(_xleta.HOUR&lt;6,"Night",IF(_xleta.HOUR&lt;12,"Morning",IF(_xleta.HOUR&lt;18,"Afternoon","Evening")))</f>
        <v>#VALUE!</v>
      </c>
      <c r="N3" t="e">
        <f>TEXT(#REF!,"DDD")</f>
        <v>#REF!</v>
      </c>
      <c r="O3" t="e">
        <f>WEEKNUM(#REF!)</f>
        <v>#REF!</v>
      </c>
      <c r="P3" t="e">
        <f>INDEX({"Q3","Q3","Q4","Q4","Q4","Q1","Q1","Q1","Q2","Q2","Q2","Q3"},MONTH(#REF!))</f>
        <v>#REF!</v>
      </c>
      <c r="U3" t="s">
        <v>21</v>
      </c>
      <c r="W3" s="19">
        <v>45932</v>
      </c>
      <c r="X3" t="s">
        <v>25</v>
      </c>
      <c r="Z3" t="s">
        <v>45</v>
      </c>
    </row>
    <row r="4" spans="1:26" x14ac:dyDescent="0.25">
      <c r="A4" s="18">
        <v>45907</v>
      </c>
      <c r="B4" s="15">
        <v>0.52777777777777779</v>
      </c>
      <c r="C4">
        <v>15</v>
      </c>
      <c r="D4" t="s">
        <v>157</v>
      </c>
      <c r="E4" t="s">
        <v>44</v>
      </c>
      <c r="F4" t="s">
        <v>114</v>
      </c>
      <c r="G4" t="s">
        <v>42</v>
      </c>
      <c r="H4" t="s">
        <v>138</v>
      </c>
      <c r="I4" t="s">
        <v>28</v>
      </c>
      <c r="J4" t="s">
        <v>22</v>
      </c>
      <c r="K4" t="str">
        <f t="shared" si="0"/>
        <v>Sept-25</v>
      </c>
      <c r="L4">
        <f>HOUR(MedicalData[[#This Row],[Time]])</f>
        <v>12</v>
      </c>
      <c r="M4" t="e">
        <f t="shared" si="1"/>
        <v>#VALUE!</v>
      </c>
      <c r="N4" t="e">
        <f>TEXT(#REF!,"DDD")</f>
        <v>#REF!</v>
      </c>
      <c r="O4" t="e">
        <f>WEEKNUM(#REF!)</f>
        <v>#REF!</v>
      </c>
      <c r="P4" t="e">
        <f>INDEX({"Q3","Q3","Q4","Q4","Q4","Q1","Q1","Q1","Q2","Q2","Q2","Q3"},MONTH(#REF!))</f>
        <v>#REF!</v>
      </c>
      <c r="U4" t="s">
        <v>26</v>
      </c>
      <c r="W4" s="19">
        <v>45933</v>
      </c>
      <c r="X4" t="s">
        <v>27</v>
      </c>
      <c r="Z4" t="s">
        <v>46</v>
      </c>
    </row>
    <row r="5" spans="1:26" x14ac:dyDescent="0.25">
      <c r="A5" s="18">
        <v>45907</v>
      </c>
      <c r="B5" s="15">
        <v>0.57638888888888884</v>
      </c>
      <c r="C5">
        <v>15</v>
      </c>
      <c r="D5" t="s">
        <v>17</v>
      </c>
      <c r="E5" t="s">
        <v>44</v>
      </c>
      <c r="F5" t="s">
        <v>114</v>
      </c>
      <c r="G5" t="s">
        <v>42</v>
      </c>
      <c r="H5" t="s">
        <v>146</v>
      </c>
      <c r="I5" t="s">
        <v>28</v>
      </c>
      <c r="J5" t="s">
        <v>22</v>
      </c>
      <c r="K5" t="str">
        <f t="shared" ref="K5:K68" si="2">TEXT(A5,"MMM-YY")</f>
        <v>Sept-25</v>
      </c>
      <c r="L5">
        <f>HOUR(MedicalData[[#This Row],[Time]])</f>
        <v>13</v>
      </c>
      <c r="M5" t="e">
        <f t="shared" si="1"/>
        <v>#VALUE!</v>
      </c>
      <c r="N5" t="e">
        <f>TEXT(#REF!,"DDD")</f>
        <v>#REF!</v>
      </c>
      <c r="O5" t="e">
        <f>WEEKNUM(#REF!)</f>
        <v>#REF!</v>
      </c>
      <c r="P5" t="e">
        <f>INDEX({"Q3","Q3","Q4","Q4","Q4","Q1","Q1","Q1","Q2","Q2","Q2","Q3"},MONTH(#REF!))</f>
        <v>#REF!</v>
      </c>
      <c r="U5" t="s">
        <v>28</v>
      </c>
      <c r="W5" s="19">
        <v>45934</v>
      </c>
      <c r="X5" t="s">
        <v>29</v>
      </c>
      <c r="Z5" t="s">
        <v>47</v>
      </c>
    </row>
    <row r="6" spans="1:26" x14ac:dyDescent="0.25">
      <c r="A6" s="18">
        <v>45907</v>
      </c>
      <c r="B6" s="15">
        <v>0.65</v>
      </c>
      <c r="C6">
        <v>14</v>
      </c>
      <c r="D6" t="s">
        <v>157</v>
      </c>
      <c r="E6" t="s">
        <v>47</v>
      </c>
      <c r="F6" t="s">
        <v>114</v>
      </c>
      <c r="G6" t="s">
        <v>47</v>
      </c>
      <c r="H6" t="s">
        <v>146</v>
      </c>
      <c r="I6" t="s">
        <v>28</v>
      </c>
      <c r="J6" t="s">
        <v>22</v>
      </c>
      <c r="K6" t="str">
        <f t="shared" si="2"/>
        <v>Sept-25</v>
      </c>
      <c r="L6">
        <f>HOUR(MedicalData[[#This Row],[Time]])</f>
        <v>15</v>
      </c>
      <c r="M6" t="e">
        <f t="shared" si="1"/>
        <v>#VALUE!</v>
      </c>
      <c r="N6" t="e">
        <f>TEXT(#REF!,"DDD")</f>
        <v>#REF!</v>
      </c>
      <c r="O6" t="e">
        <f>WEEKNUM(#REF!)</f>
        <v>#REF!</v>
      </c>
      <c r="P6" t="e">
        <f>INDEX({"Q3","Q3","Q4","Q4","Q4","Q1","Q1","Q1","Q2","Q2","Q2","Q3"},MONTH(#REF!))</f>
        <v>#REF!</v>
      </c>
      <c r="U6" t="s">
        <v>30</v>
      </c>
      <c r="W6" s="19">
        <v>45935</v>
      </c>
      <c r="X6" t="s">
        <v>31</v>
      </c>
    </row>
    <row r="7" spans="1:26" x14ac:dyDescent="0.25">
      <c r="A7" s="18">
        <v>45908</v>
      </c>
      <c r="B7" s="15">
        <v>0.60416666666666663</v>
      </c>
      <c r="C7">
        <v>19</v>
      </c>
      <c r="D7" t="s">
        <v>17</v>
      </c>
      <c r="E7" t="s">
        <v>44</v>
      </c>
      <c r="F7" t="s">
        <v>114</v>
      </c>
      <c r="G7" t="s">
        <v>42</v>
      </c>
      <c r="H7" t="s">
        <v>147</v>
      </c>
      <c r="I7" t="s">
        <v>28</v>
      </c>
      <c r="J7" t="s">
        <v>22</v>
      </c>
      <c r="K7" t="str">
        <f t="shared" si="2"/>
        <v>Sept-25</v>
      </c>
      <c r="L7">
        <f>HOUR(MedicalData[[#This Row],[Time]])</f>
        <v>14</v>
      </c>
      <c r="M7" t="e">
        <f t="shared" si="1"/>
        <v>#VALUE!</v>
      </c>
      <c r="N7" t="e">
        <f>TEXT(#REF!,"DDD")</f>
        <v>#REF!</v>
      </c>
      <c r="O7" t="e">
        <f>WEEKNUM(#REF!)</f>
        <v>#REF!</v>
      </c>
      <c r="P7" t="e">
        <f>INDEX({"Q3","Q3","Q4","Q4","Q4","Q1","Q1","Q1","Q2","Q2","Q2","Q3"},MONTH(#REF!))</f>
        <v>#REF!</v>
      </c>
      <c r="U7" s="13" t="s">
        <v>9</v>
      </c>
      <c r="W7" s="19">
        <v>45936</v>
      </c>
      <c r="X7" t="s">
        <v>32</v>
      </c>
    </row>
    <row r="8" spans="1:26" x14ac:dyDescent="0.25">
      <c r="A8" s="18">
        <v>45908</v>
      </c>
      <c r="B8" s="15">
        <v>0.66666666666666663</v>
      </c>
      <c r="C8">
        <v>10</v>
      </c>
      <c r="D8" t="s">
        <v>157</v>
      </c>
      <c r="E8" t="s">
        <v>44</v>
      </c>
      <c r="F8" t="s">
        <v>108</v>
      </c>
      <c r="G8" t="s">
        <v>29</v>
      </c>
      <c r="H8" t="s">
        <v>137</v>
      </c>
      <c r="I8" t="s">
        <v>28</v>
      </c>
      <c r="J8" t="s">
        <v>22</v>
      </c>
      <c r="K8" t="str">
        <f t="shared" si="2"/>
        <v>Sept-25</v>
      </c>
      <c r="L8">
        <f>HOUR(MedicalData[[#This Row],[Time]])</f>
        <v>16</v>
      </c>
      <c r="M8" t="e">
        <f t="shared" si="1"/>
        <v>#VALUE!</v>
      </c>
      <c r="N8" t="e">
        <f>TEXT(#REF!,"DDD")</f>
        <v>#REF!</v>
      </c>
      <c r="O8" t="e">
        <f>WEEKNUM(#REF!)</f>
        <v>#REF!</v>
      </c>
      <c r="P8" t="e">
        <f>INDEX({"Q3","Q3","Q4","Q4","Q4","Q1","Q1","Q1","Q2","Q2","Q2","Q3"},MONTH(#REF!))</f>
        <v>#REF!</v>
      </c>
      <c r="U8" t="s">
        <v>33</v>
      </c>
      <c r="W8" s="19">
        <v>45937</v>
      </c>
      <c r="X8" t="s">
        <v>34</v>
      </c>
    </row>
    <row r="9" spans="1:26" x14ac:dyDescent="0.25">
      <c r="A9" s="18">
        <v>45914</v>
      </c>
      <c r="B9" s="15">
        <v>0.54166666666666663</v>
      </c>
      <c r="C9">
        <v>13</v>
      </c>
      <c r="D9" t="s">
        <v>174</v>
      </c>
      <c r="E9" t="s">
        <v>44</v>
      </c>
      <c r="F9" t="s">
        <v>114</v>
      </c>
      <c r="G9" t="s">
        <v>42</v>
      </c>
      <c r="H9" t="s">
        <v>151</v>
      </c>
      <c r="I9" t="s">
        <v>28</v>
      </c>
      <c r="J9" t="s">
        <v>22</v>
      </c>
      <c r="K9" t="str">
        <f t="shared" si="2"/>
        <v>Sept-25</v>
      </c>
      <c r="L9">
        <f>HOUR(MedicalData[[#This Row],[Time]])</f>
        <v>13</v>
      </c>
      <c r="M9" t="e">
        <f t="shared" si="1"/>
        <v>#VALUE!</v>
      </c>
      <c r="N9" t="e">
        <f>TEXT(#REF!,"DDD")</f>
        <v>#REF!</v>
      </c>
      <c r="O9" t="e">
        <f>WEEKNUM(#REF!)</f>
        <v>#REF!</v>
      </c>
      <c r="P9" t="e">
        <f>INDEX({"Q3","Q3","Q4","Q4","Q4","Q1","Q1","Q1","Q2","Q2","Q2","Q3"},MONTH(#REF!))</f>
        <v>#REF!</v>
      </c>
      <c r="U9" t="s">
        <v>22</v>
      </c>
      <c r="W9" s="19">
        <v>45938</v>
      </c>
      <c r="X9" t="s">
        <v>35</v>
      </c>
    </row>
    <row r="10" spans="1:26" x14ac:dyDescent="0.25">
      <c r="A10" s="18">
        <v>45915</v>
      </c>
      <c r="B10" s="15">
        <v>0.5625</v>
      </c>
      <c r="C10">
        <v>19</v>
      </c>
      <c r="D10" t="s">
        <v>17</v>
      </c>
      <c r="E10" t="s">
        <v>44</v>
      </c>
      <c r="F10" t="s">
        <v>19</v>
      </c>
      <c r="G10" t="s">
        <v>42</v>
      </c>
      <c r="H10" t="s">
        <v>148</v>
      </c>
      <c r="I10" t="s">
        <v>28</v>
      </c>
      <c r="J10" t="s">
        <v>22</v>
      </c>
      <c r="K10" t="str">
        <f t="shared" si="2"/>
        <v>Sept-25</v>
      </c>
      <c r="L10">
        <f>HOUR(MedicalData[[#This Row],[Time]])</f>
        <v>13</v>
      </c>
      <c r="M10" t="e">
        <f t="shared" si="1"/>
        <v>#VALUE!</v>
      </c>
      <c r="N10" t="e">
        <f>TEXT(#REF!,"DDD")</f>
        <v>#REF!</v>
      </c>
      <c r="O10" t="e">
        <f>WEEKNUM(#REF!)</f>
        <v>#REF!</v>
      </c>
      <c r="P10" t="e">
        <f>INDEX({"Q3","Q3","Q4","Q4","Q4","Q1","Q1","Q1","Q2","Q2","Q2","Q3"},MONTH(#REF!))</f>
        <v>#REF!</v>
      </c>
      <c r="W10" s="19">
        <v>45939</v>
      </c>
      <c r="X10" t="s">
        <v>36</v>
      </c>
    </row>
    <row r="11" spans="1:26" x14ac:dyDescent="0.25">
      <c r="A11" s="18">
        <v>45919</v>
      </c>
      <c r="B11" s="15">
        <v>0.7006944444444444</v>
      </c>
      <c r="C11">
        <v>14</v>
      </c>
      <c r="D11" t="s">
        <v>156</v>
      </c>
      <c r="E11" t="s">
        <v>44</v>
      </c>
      <c r="F11" t="s">
        <v>114</v>
      </c>
      <c r="G11" t="s">
        <v>42</v>
      </c>
      <c r="H11" t="s">
        <v>135</v>
      </c>
      <c r="I11" t="s">
        <v>28</v>
      </c>
      <c r="J11" t="s">
        <v>22</v>
      </c>
      <c r="K11" t="str">
        <f t="shared" si="2"/>
        <v>Sept-25</v>
      </c>
      <c r="L11">
        <f>HOUR(MedicalData[[#This Row],[Time]])</f>
        <v>16</v>
      </c>
      <c r="M11" t="e">
        <f t="shared" si="1"/>
        <v>#VALUE!</v>
      </c>
      <c r="N11" t="e">
        <f>TEXT(#REF!,"DDD")</f>
        <v>#REF!</v>
      </c>
      <c r="O11" t="e">
        <f>WEEKNUM(#REF!)</f>
        <v>#REF!</v>
      </c>
      <c r="P11" t="e">
        <f>INDEX({"Q3","Q3","Q4","Q4","Q4","Q1","Q1","Q1","Q2","Q2","Q2","Q3"},MONTH(#REF!))</f>
        <v>#REF!</v>
      </c>
      <c r="W11" s="19">
        <v>45940</v>
      </c>
      <c r="X11" t="s">
        <v>37</v>
      </c>
    </row>
    <row r="12" spans="1:26" x14ac:dyDescent="0.25">
      <c r="A12" s="18">
        <v>45921</v>
      </c>
      <c r="B12" s="15">
        <v>0.4375</v>
      </c>
      <c r="C12">
        <v>24</v>
      </c>
      <c r="D12" t="s">
        <v>159</v>
      </c>
      <c r="E12" t="s">
        <v>44</v>
      </c>
      <c r="F12" t="s">
        <v>114</v>
      </c>
      <c r="G12" t="s">
        <v>42</v>
      </c>
      <c r="H12" t="s">
        <v>149</v>
      </c>
      <c r="I12" t="s">
        <v>28</v>
      </c>
      <c r="J12" t="s">
        <v>22</v>
      </c>
      <c r="K12" t="str">
        <f t="shared" si="2"/>
        <v>Sept-25</v>
      </c>
      <c r="L12">
        <f>HOUR(MedicalData[[#This Row],[Time]])</f>
        <v>10</v>
      </c>
      <c r="M12" t="e">
        <f t="shared" si="1"/>
        <v>#VALUE!</v>
      </c>
      <c r="N12" t="e">
        <f>TEXT(#REF!,"DDD")</f>
        <v>#REF!</v>
      </c>
      <c r="O12" t="e">
        <f>WEEKNUM(#REF!)</f>
        <v>#REF!</v>
      </c>
      <c r="P12" t="e">
        <f>INDEX({"Q3","Q3","Q4","Q4","Q4","Q1","Q1","Q1","Q2","Q2","Q2","Q3"},MONTH(#REF!))</f>
        <v>#REF!</v>
      </c>
      <c r="W12" s="19">
        <v>45941</v>
      </c>
      <c r="X12" t="s">
        <v>38</v>
      </c>
    </row>
    <row r="13" spans="1:26" x14ac:dyDescent="0.25">
      <c r="A13" s="18">
        <v>45921</v>
      </c>
      <c r="B13" s="15">
        <v>0.45</v>
      </c>
      <c r="C13">
        <v>14</v>
      </c>
      <c r="D13" t="s">
        <v>17</v>
      </c>
      <c r="E13" t="s">
        <v>44</v>
      </c>
      <c r="F13" t="s">
        <v>114</v>
      </c>
      <c r="G13" t="s">
        <v>25</v>
      </c>
      <c r="H13" t="s">
        <v>148</v>
      </c>
      <c r="I13" t="s">
        <v>28</v>
      </c>
      <c r="J13" t="s">
        <v>22</v>
      </c>
      <c r="K13" t="str">
        <f t="shared" si="2"/>
        <v>Sept-25</v>
      </c>
      <c r="L13">
        <f>HOUR(MedicalData[[#This Row],[Time]])</f>
        <v>10</v>
      </c>
      <c r="M13" t="e">
        <f t="shared" si="1"/>
        <v>#VALUE!</v>
      </c>
      <c r="N13" t="e">
        <f>TEXT(#REF!,"DDD")</f>
        <v>#REF!</v>
      </c>
      <c r="O13" t="e">
        <f>WEEKNUM(#REF!)</f>
        <v>#REF!</v>
      </c>
      <c r="P13" t="e">
        <f>INDEX({"Q3","Q3","Q4","Q4","Q4","Q1","Q1","Q1","Q2","Q2","Q2","Q3"},MONTH(#REF!))</f>
        <v>#REF!</v>
      </c>
      <c r="W13" s="19">
        <v>45942</v>
      </c>
      <c r="X13" t="s">
        <v>39</v>
      </c>
    </row>
    <row r="14" spans="1:26" x14ac:dyDescent="0.25">
      <c r="A14" s="18">
        <v>45921</v>
      </c>
      <c r="B14" s="15">
        <v>0.45</v>
      </c>
      <c r="C14">
        <v>16</v>
      </c>
      <c r="D14" t="s">
        <v>17</v>
      </c>
      <c r="E14" t="s">
        <v>44</v>
      </c>
      <c r="F14" t="s">
        <v>114</v>
      </c>
      <c r="G14" t="s">
        <v>42</v>
      </c>
      <c r="H14" t="s">
        <v>147</v>
      </c>
      <c r="I14" t="s">
        <v>28</v>
      </c>
      <c r="J14" t="s">
        <v>22</v>
      </c>
      <c r="K14" t="str">
        <f t="shared" si="2"/>
        <v>Sept-25</v>
      </c>
      <c r="L14">
        <f>HOUR(MedicalData[[#This Row],[Time]])</f>
        <v>10</v>
      </c>
      <c r="M14" t="e">
        <f t="shared" si="1"/>
        <v>#VALUE!</v>
      </c>
      <c r="N14" t="e">
        <f>TEXT(#REF!,"DDD")</f>
        <v>#REF!</v>
      </c>
      <c r="O14" t="e">
        <f>WEEKNUM(#REF!)</f>
        <v>#REF!</v>
      </c>
      <c r="P14" t="e">
        <f>INDEX({"Q3","Q3","Q4","Q4","Q4","Q1","Q1","Q1","Q2","Q2","Q2","Q3"},MONTH(#REF!))</f>
        <v>#REF!</v>
      </c>
      <c r="W14" s="19">
        <v>45943</v>
      </c>
      <c r="X14" t="s">
        <v>40</v>
      </c>
    </row>
    <row r="15" spans="1:26" x14ac:dyDescent="0.25">
      <c r="A15" s="18">
        <v>45923</v>
      </c>
      <c r="B15" s="15">
        <v>0.78125</v>
      </c>
      <c r="C15">
        <v>23</v>
      </c>
      <c r="D15" t="s">
        <v>159</v>
      </c>
      <c r="E15" t="s">
        <v>44</v>
      </c>
      <c r="F15" t="s">
        <v>120</v>
      </c>
      <c r="G15" t="s">
        <v>42</v>
      </c>
      <c r="H15" t="s">
        <v>147</v>
      </c>
      <c r="I15" t="s">
        <v>28</v>
      </c>
      <c r="J15" t="s">
        <v>22</v>
      </c>
      <c r="K15" t="str">
        <f t="shared" si="2"/>
        <v>Sept-25</v>
      </c>
      <c r="L15">
        <f>HOUR(MedicalData[[#This Row],[Time]])</f>
        <v>18</v>
      </c>
      <c r="M15" t="e">
        <f t="shared" si="1"/>
        <v>#VALUE!</v>
      </c>
      <c r="N15" t="e">
        <f>TEXT(#REF!,"DDD")</f>
        <v>#REF!</v>
      </c>
      <c r="O15" t="e">
        <f>WEEKNUM(#REF!)</f>
        <v>#REF!</v>
      </c>
      <c r="P15" t="e">
        <f>INDEX({"Q3","Q3","Q4","Q4","Q4","Q1","Q1","Q1","Q2","Q2","Q2","Q3"},MONTH(#REF!))</f>
        <v>#REF!</v>
      </c>
      <c r="W15" s="19">
        <v>45944</v>
      </c>
      <c r="X15" t="s">
        <v>41</v>
      </c>
    </row>
    <row r="16" spans="1:26" x14ac:dyDescent="0.25">
      <c r="A16" s="18">
        <v>45924</v>
      </c>
      <c r="B16" s="15">
        <v>0.4375</v>
      </c>
      <c r="C16">
        <v>22</v>
      </c>
      <c r="D16" t="s">
        <v>159</v>
      </c>
      <c r="E16" t="s">
        <v>44</v>
      </c>
      <c r="F16" t="s">
        <v>114</v>
      </c>
      <c r="G16" t="s">
        <v>42</v>
      </c>
      <c r="H16" t="s">
        <v>141</v>
      </c>
      <c r="I16" t="s">
        <v>28</v>
      </c>
      <c r="J16" t="s">
        <v>22</v>
      </c>
      <c r="K16" t="str">
        <f t="shared" si="2"/>
        <v>Sept-25</v>
      </c>
      <c r="L16">
        <f>HOUR(MedicalData[[#This Row],[Time]])</f>
        <v>10</v>
      </c>
      <c r="M16" t="e">
        <f t="shared" si="1"/>
        <v>#VALUE!</v>
      </c>
      <c r="N16" t="e">
        <f>TEXT(#REF!,"DDD")</f>
        <v>#REF!</v>
      </c>
      <c r="O16" t="e">
        <f>WEEKNUM(#REF!)</f>
        <v>#REF!</v>
      </c>
      <c r="P16" t="e">
        <f>INDEX({"Q3","Q3","Q4","Q4","Q4","Q1","Q1","Q1","Q2","Q2","Q2","Q3"},MONTH(#REF!))</f>
        <v>#REF!</v>
      </c>
      <c r="W16" s="19">
        <v>45945</v>
      </c>
      <c r="X16" t="s">
        <v>20</v>
      </c>
    </row>
    <row r="17" spans="1:24" x14ac:dyDescent="0.25">
      <c r="A17" s="18">
        <v>45925</v>
      </c>
      <c r="B17" s="15">
        <v>0.5</v>
      </c>
      <c r="C17">
        <v>21</v>
      </c>
      <c r="D17" t="s">
        <v>157</v>
      </c>
      <c r="E17" t="s">
        <v>44</v>
      </c>
      <c r="F17" t="s">
        <v>109</v>
      </c>
      <c r="G17" t="s">
        <v>42</v>
      </c>
      <c r="H17" t="s">
        <v>147</v>
      </c>
      <c r="I17" t="s">
        <v>28</v>
      </c>
      <c r="J17" t="s">
        <v>22</v>
      </c>
      <c r="K17" t="str">
        <f t="shared" si="2"/>
        <v>Sept-25</v>
      </c>
      <c r="L17">
        <f>HOUR(MedicalData[[#This Row],[Time]])</f>
        <v>12</v>
      </c>
      <c r="M17" t="e">
        <f t="shared" si="1"/>
        <v>#VALUE!</v>
      </c>
      <c r="N17" t="e">
        <f>TEXT(#REF!,"DDD")</f>
        <v>#REF!</v>
      </c>
      <c r="O17" t="e">
        <f>WEEKNUM(#REF!)</f>
        <v>#REF!</v>
      </c>
      <c r="P17" t="e">
        <f>INDEX({"Q3","Q3","Q4","Q4","Q4","Q1","Q1","Q1","Q2","Q2","Q2","Q3"},MONTH(#REF!))</f>
        <v>#REF!</v>
      </c>
      <c r="W17" s="19">
        <v>45946</v>
      </c>
      <c r="X17" t="s">
        <v>42</v>
      </c>
    </row>
    <row r="18" spans="1:24" x14ac:dyDescent="0.25">
      <c r="A18" s="18">
        <v>45937</v>
      </c>
      <c r="B18" s="15">
        <v>0.5805555555555556</v>
      </c>
      <c r="C18">
        <v>13</v>
      </c>
      <c r="D18" t="s">
        <v>157</v>
      </c>
      <c r="E18" t="s">
        <v>44</v>
      </c>
      <c r="F18" t="s">
        <v>114</v>
      </c>
      <c r="G18" t="s">
        <v>25</v>
      </c>
      <c r="H18" t="s">
        <v>140</v>
      </c>
      <c r="I18" t="s">
        <v>28</v>
      </c>
      <c r="J18" t="s">
        <v>22</v>
      </c>
      <c r="K18" t="str">
        <f t="shared" si="2"/>
        <v>Oct-25</v>
      </c>
      <c r="L18">
        <f>HOUR(MedicalData[[#This Row],[Time]])</f>
        <v>13</v>
      </c>
      <c r="M18" t="e">
        <f t="shared" si="1"/>
        <v>#VALUE!</v>
      </c>
      <c r="N18" t="e">
        <f>TEXT(#REF!,"DDD")</f>
        <v>#REF!</v>
      </c>
      <c r="O18" t="e">
        <f>WEEKNUM(#REF!)</f>
        <v>#REF!</v>
      </c>
      <c r="P18" t="e">
        <f>INDEX({"Q3","Q3","Q4","Q4","Q4","Q1","Q1","Q1","Q2","Q2","Q2","Q3"},MONTH(#REF!))</f>
        <v>#REF!</v>
      </c>
      <c r="W18" s="19">
        <v>45947</v>
      </c>
      <c r="X18" t="s">
        <v>43</v>
      </c>
    </row>
    <row r="19" spans="1:24" x14ac:dyDescent="0.25">
      <c r="A19" s="18">
        <v>45937</v>
      </c>
      <c r="B19" s="15">
        <v>0.60902777777777772</v>
      </c>
      <c r="C19">
        <v>14</v>
      </c>
      <c r="D19" t="s">
        <v>17</v>
      </c>
      <c r="E19" t="s">
        <v>44</v>
      </c>
      <c r="F19" t="s">
        <v>114</v>
      </c>
      <c r="G19" t="s">
        <v>25</v>
      </c>
      <c r="H19" t="s">
        <v>18</v>
      </c>
      <c r="I19" t="s">
        <v>28</v>
      </c>
      <c r="J19" t="s">
        <v>22</v>
      </c>
      <c r="K19" t="str">
        <f t="shared" si="2"/>
        <v>Oct-25</v>
      </c>
      <c r="L19">
        <f>HOUR(MedicalData[[#This Row],[Time]])</f>
        <v>14</v>
      </c>
      <c r="M19" t="e">
        <f t="shared" si="1"/>
        <v>#VALUE!</v>
      </c>
      <c r="N19" t="e">
        <f>TEXT(#REF!,"DDD")</f>
        <v>#REF!</v>
      </c>
      <c r="O19" t="e">
        <f>WEEKNUM(#REF!)</f>
        <v>#REF!</v>
      </c>
      <c r="P19" t="e">
        <f>INDEX({"Q3","Q3","Q4","Q4","Q4","Q1","Q1","Q1","Q2","Q2","Q2","Q3"},MONTH(#REF!))</f>
        <v>#REF!</v>
      </c>
      <c r="W19" s="19">
        <v>45948</v>
      </c>
      <c r="X19" t="s">
        <v>44</v>
      </c>
    </row>
    <row r="20" spans="1:24" x14ac:dyDescent="0.25">
      <c r="A20" s="18">
        <v>45938</v>
      </c>
      <c r="B20" s="15">
        <v>0.63888888888888884</v>
      </c>
      <c r="C20">
        <v>10</v>
      </c>
      <c r="D20" t="s">
        <v>17</v>
      </c>
      <c r="E20" t="s">
        <v>44</v>
      </c>
      <c r="F20" t="s">
        <v>115</v>
      </c>
      <c r="G20" t="s">
        <v>20</v>
      </c>
      <c r="H20" t="s">
        <v>135</v>
      </c>
      <c r="I20" t="s">
        <v>28</v>
      </c>
      <c r="J20" t="s">
        <v>22</v>
      </c>
      <c r="K20" t="str">
        <f t="shared" si="2"/>
        <v>Oct-25</v>
      </c>
      <c r="L20">
        <f>HOUR(MedicalData[[#This Row],[Time]])</f>
        <v>15</v>
      </c>
      <c r="M20" t="e">
        <f t="shared" si="1"/>
        <v>#VALUE!</v>
      </c>
      <c r="N20" t="e">
        <f>TEXT(#REF!,"DDD")</f>
        <v>#REF!</v>
      </c>
      <c r="O20" t="e">
        <f>WEEKNUM(#REF!)</f>
        <v>#REF!</v>
      </c>
      <c r="P20" t="e">
        <f>INDEX({"Q3","Q3","Q4","Q4","Q4","Q1","Q1","Q1","Q2","Q2","Q2","Q3"},MONTH(#REF!))</f>
        <v>#REF!</v>
      </c>
      <c r="W20" s="19">
        <v>45949</v>
      </c>
      <c r="X20" t="s">
        <v>45</v>
      </c>
    </row>
    <row r="21" spans="1:24" x14ac:dyDescent="0.25">
      <c r="A21" s="18">
        <v>45939</v>
      </c>
      <c r="B21" s="15">
        <v>0.58888888888888891</v>
      </c>
      <c r="C21">
        <v>15</v>
      </c>
      <c r="D21" t="s">
        <v>155</v>
      </c>
      <c r="E21" t="s">
        <v>45</v>
      </c>
      <c r="F21" t="s">
        <v>19</v>
      </c>
      <c r="G21" t="s">
        <v>42</v>
      </c>
      <c r="H21" t="s">
        <v>139</v>
      </c>
      <c r="I21" t="s">
        <v>28</v>
      </c>
      <c r="J21" t="s">
        <v>22</v>
      </c>
      <c r="K21" t="str">
        <f t="shared" si="2"/>
        <v>Oct-25</v>
      </c>
      <c r="L21">
        <f>HOUR(MedicalData[[#This Row],[Time]])</f>
        <v>14</v>
      </c>
      <c r="M21" t="e">
        <f t="shared" si="1"/>
        <v>#VALUE!</v>
      </c>
      <c r="N21" t="e">
        <f>TEXT(#REF!,"DDD")</f>
        <v>#REF!</v>
      </c>
      <c r="O21" t="e">
        <f>WEEKNUM(#REF!)</f>
        <v>#REF!</v>
      </c>
      <c r="P21" t="e">
        <f>INDEX({"Q3","Q3","Q4","Q4","Q4","Q1","Q1","Q1","Q2","Q2","Q2","Q3"},MONTH(#REF!))</f>
        <v>#REF!</v>
      </c>
      <c r="W21" s="19">
        <v>45950</v>
      </c>
      <c r="X21" t="s">
        <v>46</v>
      </c>
    </row>
    <row r="22" spans="1:24" x14ac:dyDescent="0.25">
      <c r="A22" s="18">
        <v>45940</v>
      </c>
      <c r="B22" s="15">
        <v>0.5854166666666667</v>
      </c>
      <c r="C22">
        <v>22</v>
      </c>
      <c r="D22" t="s">
        <v>17</v>
      </c>
      <c r="E22" t="s">
        <v>44</v>
      </c>
      <c r="F22" t="s">
        <v>110</v>
      </c>
      <c r="G22" t="s">
        <v>42</v>
      </c>
      <c r="H22" t="s">
        <v>146</v>
      </c>
      <c r="I22" t="s">
        <v>28</v>
      </c>
      <c r="J22" t="s">
        <v>22</v>
      </c>
      <c r="K22" t="str">
        <f t="shared" si="2"/>
        <v>Oct-25</v>
      </c>
      <c r="L22">
        <f>HOUR(MedicalData[[#This Row],[Time]])</f>
        <v>14</v>
      </c>
      <c r="M22" t="e">
        <f t="shared" si="1"/>
        <v>#VALUE!</v>
      </c>
      <c r="N22" t="e">
        <f>TEXT(#REF!,"DDD")</f>
        <v>#REF!</v>
      </c>
      <c r="O22" t="e">
        <f>WEEKNUM(#REF!)</f>
        <v>#REF!</v>
      </c>
      <c r="P22" t="e">
        <f>INDEX({"Q3","Q3","Q4","Q4","Q4","Q1","Q1","Q1","Q2","Q2","Q2","Q3"},MONTH(#REF!))</f>
        <v>#REF!</v>
      </c>
      <c r="W22" s="19">
        <v>45951</v>
      </c>
      <c r="X22" t="s">
        <v>47</v>
      </c>
    </row>
    <row r="23" spans="1:24" x14ac:dyDescent="0.25">
      <c r="A23" s="18">
        <v>45947</v>
      </c>
      <c r="B23" s="15">
        <v>0.51944444444444449</v>
      </c>
      <c r="C23">
        <v>19</v>
      </c>
      <c r="D23" t="s">
        <v>17</v>
      </c>
      <c r="E23" t="s">
        <v>44</v>
      </c>
      <c r="F23" t="s">
        <v>114</v>
      </c>
      <c r="G23" t="s">
        <v>42</v>
      </c>
      <c r="H23" t="s">
        <v>149</v>
      </c>
      <c r="I23" t="s">
        <v>28</v>
      </c>
      <c r="J23" t="s">
        <v>22</v>
      </c>
      <c r="K23" t="str">
        <f t="shared" si="2"/>
        <v>Oct-25</v>
      </c>
      <c r="L23">
        <f>HOUR(MedicalData[[#This Row],[Time]])</f>
        <v>12</v>
      </c>
      <c r="M23" t="e">
        <f t="shared" si="1"/>
        <v>#VALUE!</v>
      </c>
      <c r="N23" t="e">
        <f>TEXT(#REF!,"DDD")</f>
        <v>#REF!</v>
      </c>
      <c r="O23" t="e">
        <f>WEEKNUM(#REF!)</f>
        <v>#REF!</v>
      </c>
      <c r="P23" t="e">
        <f>INDEX({"Q3","Q3","Q4","Q4","Q4","Q1","Q1","Q1","Q2","Q2","Q2","Q3"},MONTH(#REF!))</f>
        <v>#REF!</v>
      </c>
      <c r="W23" s="19">
        <v>45952</v>
      </c>
    </row>
    <row r="24" spans="1:24" x14ac:dyDescent="0.25">
      <c r="A24" s="18">
        <v>45948</v>
      </c>
      <c r="B24" s="15">
        <v>0.69444444444444442</v>
      </c>
      <c r="C24">
        <v>20</v>
      </c>
      <c r="D24" t="s">
        <v>159</v>
      </c>
      <c r="E24" t="s">
        <v>44</v>
      </c>
      <c r="F24" t="s">
        <v>114</v>
      </c>
      <c r="G24" t="s">
        <v>42</v>
      </c>
      <c r="H24" t="s">
        <v>144</v>
      </c>
      <c r="I24" t="s">
        <v>28</v>
      </c>
      <c r="J24" t="s">
        <v>22</v>
      </c>
      <c r="K24" t="str">
        <f t="shared" si="2"/>
        <v>Oct-25</v>
      </c>
      <c r="L24">
        <f>HOUR(MedicalData[[#This Row],[Time]])</f>
        <v>16</v>
      </c>
      <c r="M24" t="e">
        <f t="shared" si="1"/>
        <v>#VALUE!</v>
      </c>
      <c r="N24" t="e">
        <f>TEXT(#REF!,"DDD")</f>
        <v>#REF!</v>
      </c>
      <c r="O24" t="e">
        <f>WEEKNUM(#REF!)</f>
        <v>#REF!</v>
      </c>
      <c r="P24" t="e">
        <f>INDEX({"Q3","Q3","Q4","Q4","Q4","Q1","Q1","Q1","Q2","Q2","Q2","Q3"},MONTH(#REF!))</f>
        <v>#REF!</v>
      </c>
      <c r="W24" s="19">
        <v>45953</v>
      </c>
    </row>
    <row r="25" spans="1:24" x14ac:dyDescent="0.25">
      <c r="A25" s="18">
        <v>45952</v>
      </c>
      <c r="B25" s="15">
        <v>0.55902777777777779</v>
      </c>
      <c r="C25">
        <v>40</v>
      </c>
      <c r="D25" t="s">
        <v>156</v>
      </c>
      <c r="E25" t="s">
        <v>44</v>
      </c>
      <c r="F25" t="s">
        <v>118</v>
      </c>
      <c r="G25" t="s">
        <v>42</v>
      </c>
      <c r="H25" t="s">
        <v>140</v>
      </c>
      <c r="I25" t="s">
        <v>28</v>
      </c>
      <c r="J25" t="s">
        <v>22</v>
      </c>
      <c r="K25" t="str">
        <f t="shared" si="2"/>
        <v>Oct-25</v>
      </c>
      <c r="L25">
        <f>HOUR(MedicalData[[#This Row],[Time]])</f>
        <v>13</v>
      </c>
      <c r="M25" t="e">
        <f t="shared" si="1"/>
        <v>#VALUE!</v>
      </c>
      <c r="N25" t="e">
        <f>TEXT(#REF!,"DDD")</f>
        <v>#REF!</v>
      </c>
      <c r="O25" t="e">
        <f>WEEKNUM(#REF!)</f>
        <v>#REF!</v>
      </c>
      <c r="P25" t="e">
        <f>INDEX({"Q3","Q3","Q4","Q4","Q4","Q1","Q1","Q1","Q2","Q2","Q2","Q3"},MONTH(#REF!))</f>
        <v>#REF!</v>
      </c>
      <c r="W25" s="19">
        <v>45954</v>
      </c>
    </row>
    <row r="26" spans="1:24" x14ac:dyDescent="0.25">
      <c r="A26" s="18">
        <v>45952</v>
      </c>
      <c r="B26" s="15">
        <v>0.67638888888888893</v>
      </c>
      <c r="C26">
        <v>12</v>
      </c>
      <c r="D26" t="s">
        <v>17</v>
      </c>
      <c r="E26" t="s">
        <v>44</v>
      </c>
      <c r="F26" t="s">
        <v>114</v>
      </c>
      <c r="G26" t="s">
        <v>42</v>
      </c>
      <c r="H26" t="s">
        <v>146</v>
      </c>
      <c r="I26" t="s">
        <v>28</v>
      </c>
      <c r="J26" t="s">
        <v>22</v>
      </c>
      <c r="K26" t="str">
        <f t="shared" si="2"/>
        <v>Oct-25</v>
      </c>
      <c r="L26">
        <f>HOUR(MedicalData[[#This Row],[Time]])</f>
        <v>16</v>
      </c>
      <c r="M26" t="e">
        <f t="shared" si="1"/>
        <v>#VALUE!</v>
      </c>
      <c r="N26" t="e">
        <f>TEXT(#REF!,"DDD")</f>
        <v>#REF!</v>
      </c>
      <c r="O26" t="e">
        <f>WEEKNUM(#REF!)</f>
        <v>#REF!</v>
      </c>
      <c r="P26" t="e">
        <f>INDEX({"Q3","Q3","Q4","Q4","Q4","Q1","Q1","Q1","Q2","Q2","Q2","Q3"},MONTH(#REF!))</f>
        <v>#REF!</v>
      </c>
      <c r="W26" s="19">
        <v>45955</v>
      </c>
    </row>
    <row r="27" spans="1:24" x14ac:dyDescent="0.25">
      <c r="A27" s="18">
        <v>45958</v>
      </c>
      <c r="B27" s="15">
        <v>0.7368055555555556</v>
      </c>
      <c r="C27">
        <v>14</v>
      </c>
      <c r="D27" t="s">
        <v>157</v>
      </c>
      <c r="E27" t="s">
        <v>44</v>
      </c>
      <c r="F27" t="s">
        <v>108</v>
      </c>
      <c r="G27" t="s">
        <v>29</v>
      </c>
      <c r="H27" t="s">
        <v>139</v>
      </c>
      <c r="I27" t="s">
        <v>28</v>
      </c>
      <c r="J27" t="s">
        <v>22</v>
      </c>
      <c r="K27" t="str">
        <f t="shared" si="2"/>
        <v>Oct-25</v>
      </c>
      <c r="L27">
        <f>HOUR(MedicalData[[#This Row],[Time]])</f>
        <v>17</v>
      </c>
      <c r="M27" t="e">
        <f t="shared" si="1"/>
        <v>#VALUE!</v>
      </c>
      <c r="N27" t="e">
        <f>TEXT(#REF!,"DDD")</f>
        <v>#REF!</v>
      </c>
      <c r="O27" t="e">
        <f>WEEKNUM(#REF!)</f>
        <v>#REF!</v>
      </c>
      <c r="P27" t="e">
        <f>INDEX({"Q3","Q3","Q4","Q4","Q4","Q1","Q1","Q1","Q2","Q2","Q2","Q3"},MONTH(#REF!))</f>
        <v>#REF!</v>
      </c>
      <c r="W27" s="19">
        <v>45956</v>
      </c>
    </row>
    <row r="28" spans="1:24" x14ac:dyDescent="0.25">
      <c r="A28" s="18">
        <v>45960</v>
      </c>
      <c r="B28" s="15">
        <v>0.72638888888888886</v>
      </c>
      <c r="C28">
        <v>19</v>
      </c>
      <c r="D28" t="s">
        <v>155</v>
      </c>
      <c r="E28" t="s">
        <v>45</v>
      </c>
      <c r="F28" t="s">
        <v>19</v>
      </c>
      <c r="G28" t="s">
        <v>42</v>
      </c>
      <c r="H28" t="s">
        <v>135</v>
      </c>
      <c r="I28" t="s">
        <v>28</v>
      </c>
      <c r="J28" t="s">
        <v>22</v>
      </c>
      <c r="K28" t="str">
        <f t="shared" si="2"/>
        <v>Oct-25</v>
      </c>
      <c r="L28">
        <f>HOUR(MedicalData[[#This Row],[Time]])</f>
        <v>17</v>
      </c>
      <c r="M28" t="e">
        <f t="shared" si="1"/>
        <v>#VALUE!</v>
      </c>
      <c r="N28" t="e">
        <f>TEXT(#REF!,"DDD")</f>
        <v>#REF!</v>
      </c>
      <c r="O28" t="e">
        <f>WEEKNUM(#REF!)</f>
        <v>#REF!</v>
      </c>
      <c r="P28" t="e">
        <f>INDEX({"Q3","Q3","Q4","Q4","Q4","Q1","Q1","Q1","Q2","Q2","Q2","Q3"},MONTH(#REF!))</f>
        <v>#REF!</v>
      </c>
      <c r="W28" s="19">
        <v>45957</v>
      </c>
    </row>
    <row r="29" spans="1:24" x14ac:dyDescent="0.25">
      <c r="A29" s="18"/>
      <c r="B29" s="15"/>
      <c r="K29" t="str">
        <f t="shared" si="2"/>
        <v>Jan-00</v>
      </c>
      <c r="L29">
        <f>HOUR(MedicalData[[#This Row],[Time]])</f>
        <v>0</v>
      </c>
      <c r="M29" t="e">
        <f t="shared" si="1"/>
        <v>#VALUE!</v>
      </c>
      <c r="N29" t="e">
        <f>TEXT(#REF!,"DDD")</f>
        <v>#REF!</v>
      </c>
      <c r="O29" t="e">
        <f>WEEKNUM(#REF!)</f>
        <v>#REF!</v>
      </c>
      <c r="P29" t="e">
        <f>INDEX({"Q3","Q3","Q4","Q4","Q4","Q1","Q1","Q1","Q2","Q2","Q2","Q3"},MONTH(#REF!))</f>
        <v>#REF!</v>
      </c>
      <c r="W29" s="19">
        <v>45958</v>
      </c>
    </row>
    <row r="30" spans="1:24" x14ac:dyDescent="0.25">
      <c r="A30" s="18"/>
      <c r="B30" s="15"/>
      <c r="K30" t="str">
        <f t="shared" si="2"/>
        <v>Jan-00</v>
      </c>
      <c r="L30">
        <f>HOUR(MedicalData[[#This Row],[Time]])</f>
        <v>0</v>
      </c>
      <c r="M30" t="e">
        <f t="shared" si="1"/>
        <v>#VALUE!</v>
      </c>
      <c r="N30" t="e">
        <f>TEXT(#REF!,"DDD")</f>
        <v>#REF!</v>
      </c>
      <c r="O30" t="e">
        <f>WEEKNUM(#REF!)</f>
        <v>#REF!</v>
      </c>
      <c r="P30" t="e">
        <f>INDEX({"Q3","Q3","Q4","Q4","Q4","Q1","Q1","Q1","Q2","Q2","Q2","Q3"},MONTH(#REF!))</f>
        <v>#REF!</v>
      </c>
      <c r="W30" s="19">
        <v>45959</v>
      </c>
    </row>
    <row r="31" spans="1:24" x14ac:dyDescent="0.25">
      <c r="A31" s="18"/>
      <c r="B31" s="15"/>
      <c r="K31" t="str">
        <f t="shared" si="2"/>
        <v>Jan-00</v>
      </c>
      <c r="L31">
        <f>HOUR(MedicalData[[#This Row],[Time]])</f>
        <v>0</v>
      </c>
      <c r="M31" t="e">
        <f t="shared" si="1"/>
        <v>#VALUE!</v>
      </c>
      <c r="N31" t="e">
        <f>TEXT(#REF!,"DDD")</f>
        <v>#REF!</v>
      </c>
      <c r="O31" t="e">
        <f>WEEKNUM(#REF!)</f>
        <v>#REF!</v>
      </c>
      <c r="P31" t="e">
        <f>INDEX({"Q3","Q3","Q4","Q4","Q4","Q1","Q1","Q1","Q2","Q2","Q2","Q3"},MONTH(#REF!))</f>
        <v>#REF!</v>
      </c>
      <c r="W31" s="19">
        <v>45960</v>
      </c>
    </row>
    <row r="32" spans="1:24" x14ac:dyDescent="0.25">
      <c r="A32" s="18"/>
      <c r="B32" s="15"/>
      <c r="K32" t="str">
        <f t="shared" si="2"/>
        <v>Jan-00</v>
      </c>
      <c r="L32">
        <f>HOUR(MedicalData[[#This Row],[Time]])</f>
        <v>0</v>
      </c>
      <c r="M32" t="e">
        <f t="shared" si="1"/>
        <v>#VALUE!</v>
      </c>
      <c r="N32" t="e">
        <f>TEXT(#REF!,"DDD")</f>
        <v>#REF!</v>
      </c>
      <c r="O32" t="e">
        <f>WEEKNUM(#REF!)</f>
        <v>#REF!</v>
      </c>
      <c r="P32" t="e">
        <f>INDEX({"Q3","Q3","Q4","Q4","Q4","Q1","Q1","Q1","Q2","Q2","Q2","Q3"},MONTH(#REF!))</f>
        <v>#REF!</v>
      </c>
      <c r="W32" s="19">
        <v>45961</v>
      </c>
    </row>
    <row r="33" spans="1:16" x14ac:dyDescent="0.25">
      <c r="A33" s="18"/>
      <c r="B33" s="15"/>
      <c r="K33" t="str">
        <f t="shared" si="2"/>
        <v>Jan-00</v>
      </c>
      <c r="L33">
        <f>HOUR(MedicalData[[#This Row],[Time]])</f>
        <v>0</v>
      </c>
      <c r="M33" t="e">
        <f t="shared" si="1"/>
        <v>#VALUE!</v>
      </c>
      <c r="N33" t="e">
        <f>TEXT(#REF!,"DDD")</f>
        <v>#REF!</v>
      </c>
      <c r="O33" t="e">
        <f>WEEKNUM(#REF!)</f>
        <v>#REF!</v>
      </c>
      <c r="P33" t="e">
        <f>INDEX({"Q3","Q3","Q4","Q4","Q4","Q1","Q1","Q1","Q2","Q2","Q2","Q3"},MONTH(#REF!))</f>
        <v>#REF!</v>
      </c>
    </row>
    <row r="34" spans="1:16" x14ac:dyDescent="0.25">
      <c r="A34" s="18"/>
      <c r="B34" s="15"/>
      <c r="K34" t="str">
        <f t="shared" si="2"/>
        <v>Jan-00</v>
      </c>
      <c r="L34">
        <f>HOUR(MedicalData[[#This Row],[Time]])</f>
        <v>0</v>
      </c>
      <c r="M34" t="e">
        <f t="shared" si="1"/>
        <v>#VALUE!</v>
      </c>
      <c r="N34" t="e">
        <f>TEXT(#REF!,"DDD")</f>
        <v>#REF!</v>
      </c>
      <c r="O34" t="e">
        <f>WEEKNUM(#REF!)</f>
        <v>#REF!</v>
      </c>
      <c r="P34" t="e">
        <f>INDEX({"Q3","Q3","Q4","Q4","Q4","Q1","Q1","Q1","Q2","Q2","Q2","Q3"},MONTH(#REF!))</f>
        <v>#REF!</v>
      </c>
    </row>
    <row r="35" spans="1:16" x14ac:dyDescent="0.25">
      <c r="A35" s="18"/>
      <c r="B35" s="15"/>
      <c r="K35" t="str">
        <f t="shared" si="2"/>
        <v>Jan-00</v>
      </c>
      <c r="L35">
        <f>HOUR(MedicalData[[#This Row],[Time]])</f>
        <v>0</v>
      </c>
      <c r="M35" t="e">
        <f t="shared" si="1"/>
        <v>#VALUE!</v>
      </c>
      <c r="N35" t="e">
        <f>TEXT(#REF!,"DDD")</f>
        <v>#REF!</v>
      </c>
      <c r="O35" t="e">
        <f>WEEKNUM(#REF!)</f>
        <v>#REF!</v>
      </c>
      <c r="P35" t="e">
        <f>INDEX({"Q3","Q3","Q4","Q4","Q4","Q1","Q1","Q1","Q2","Q2","Q2","Q3"},MONTH(#REF!))</f>
        <v>#REF!</v>
      </c>
    </row>
    <row r="36" spans="1:16" x14ac:dyDescent="0.25">
      <c r="A36" s="18"/>
      <c r="B36" s="15"/>
      <c r="K36" t="str">
        <f t="shared" si="2"/>
        <v>Jan-00</v>
      </c>
      <c r="L36">
        <f>HOUR(MedicalData[[#This Row],[Time]])</f>
        <v>0</v>
      </c>
      <c r="M36" t="e">
        <f t="shared" si="1"/>
        <v>#VALUE!</v>
      </c>
      <c r="N36" t="e">
        <f>TEXT(#REF!,"DDD")</f>
        <v>#REF!</v>
      </c>
      <c r="O36" t="e">
        <f>WEEKNUM(#REF!)</f>
        <v>#REF!</v>
      </c>
      <c r="P36" t="e">
        <f>INDEX({"Q3","Q3","Q4","Q4","Q4","Q1","Q1","Q1","Q2","Q2","Q2","Q3"},MONTH(#REF!))</f>
        <v>#REF!</v>
      </c>
    </row>
    <row r="37" spans="1:16" x14ac:dyDescent="0.25">
      <c r="A37" s="18"/>
      <c r="B37" s="15"/>
      <c r="K37" t="str">
        <f t="shared" si="2"/>
        <v>Jan-00</v>
      </c>
      <c r="L37">
        <f>HOUR(MedicalData[[#This Row],[Time]])</f>
        <v>0</v>
      </c>
      <c r="M37" t="e">
        <f t="shared" si="1"/>
        <v>#VALUE!</v>
      </c>
      <c r="N37" t="e">
        <f>TEXT(#REF!,"DDD")</f>
        <v>#REF!</v>
      </c>
      <c r="O37" t="e">
        <f>WEEKNUM(#REF!)</f>
        <v>#REF!</v>
      </c>
      <c r="P37" t="e">
        <f>INDEX({"Q3","Q3","Q4","Q4","Q4","Q1","Q1","Q1","Q2","Q2","Q2","Q3"},MONTH(#REF!))</f>
        <v>#REF!</v>
      </c>
    </row>
    <row r="38" spans="1:16" x14ac:dyDescent="0.25">
      <c r="A38" s="18"/>
      <c r="B38" s="15"/>
      <c r="K38" t="str">
        <f t="shared" si="2"/>
        <v>Jan-00</v>
      </c>
      <c r="L38">
        <f>HOUR(MedicalData[[#This Row],[Time]])</f>
        <v>0</v>
      </c>
      <c r="M38" t="e">
        <f t="shared" si="1"/>
        <v>#VALUE!</v>
      </c>
      <c r="N38" t="e">
        <f>TEXT(#REF!,"DDD")</f>
        <v>#REF!</v>
      </c>
      <c r="O38" t="e">
        <f>WEEKNUM(#REF!)</f>
        <v>#REF!</v>
      </c>
      <c r="P38" t="e">
        <f>INDEX({"Q3","Q3","Q4","Q4","Q4","Q1","Q1","Q1","Q2","Q2","Q2","Q3"},MONTH(#REF!))</f>
        <v>#REF!</v>
      </c>
    </row>
    <row r="39" spans="1:16" x14ac:dyDescent="0.25">
      <c r="A39" s="18"/>
      <c r="B39" s="15"/>
      <c r="K39" t="str">
        <f t="shared" si="2"/>
        <v>Jan-00</v>
      </c>
      <c r="L39">
        <f>HOUR(MedicalData[[#This Row],[Time]])</f>
        <v>0</v>
      </c>
      <c r="M39" t="e">
        <f t="shared" si="1"/>
        <v>#VALUE!</v>
      </c>
      <c r="N39" t="e">
        <f>TEXT(#REF!,"DDD")</f>
        <v>#REF!</v>
      </c>
      <c r="O39" t="e">
        <f>WEEKNUM(#REF!)</f>
        <v>#REF!</v>
      </c>
      <c r="P39" t="e">
        <f>INDEX({"Q3","Q3","Q4","Q4","Q4","Q1","Q1","Q1","Q2","Q2","Q2","Q3"},MONTH(#REF!))</f>
        <v>#REF!</v>
      </c>
    </row>
    <row r="40" spans="1:16" x14ac:dyDescent="0.25">
      <c r="A40" s="18"/>
      <c r="B40" s="15"/>
      <c r="K40" t="str">
        <f t="shared" si="2"/>
        <v>Jan-00</v>
      </c>
      <c r="L40">
        <f>HOUR(MedicalData[[#This Row],[Time]])</f>
        <v>0</v>
      </c>
      <c r="M40" t="e">
        <f t="shared" si="1"/>
        <v>#VALUE!</v>
      </c>
      <c r="N40" t="e">
        <f>TEXT(#REF!,"DDD")</f>
        <v>#REF!</v>
      </c>
      <c r="O40" t="e">
        <f>WEEKNUM(#REF!)</f>
        <v>#REF!</v>
      </c>
      <c r="P40" t="e">
        <f>INDEX({"Q3","Q3","Q4","Q4","Q4","Q1","Q1","Q1","Q2","Q2","Q2","Q3"},MONTH(#REF!))</f>
        <v>#REF!</v>
      </c>
    </row>
    <row r="41" spans="1:16" x14ac:dyDescent="0.25">
      <c r="A41" s="18"/>
      <c r="B41" s="15"/>
      <c r="K41" t="str">
        <f t="shared" si="2"/>
        <v>Jan-00</v>
      </c>
      <c r="L41">
        <f>HOUR(MedicalData[[#This Row],[Time]])</f>
        <v>0</v>
      </c>
      <c r="M41" t="e">
        <f t="shared" si="1"/>
        <v>#VALUE!</v>
      </c>
      <c r="N41" t="e">
        <f>TEXT(#REF!,"DDD")</f>
        <v>#REF!</v>
      </c>
      <c r="O41" t="e">
        <f>WEEKNUM(#REF!)</f>
        <v>#REF!</v>
      </c>
      <c r="P41" t="e">
        <f>INDEX({"Q3","Q3","Q4","Q4","Q4","Q1","Q1","Q1","Q2","Q2","Q2","Q3"},MONTH(#REF!))</f>
        <v>#REF!</v>
      </c>
    </row>
    <row r="42" spans="1:16" x14ac:dyDescent="0.25">
      <c r="A42" s="18"/>
      <c r="B42" s="15"/>
      <c r="K42" t="str">
        <f t="shared" si="2"/>
        <v>Jan-00</v>
      </c>
      <c r="L42">
        <f>HOUR(MedicalData[[#This Row],[Time]])</f>
        <v>0</v>
      </c>
      <c r="M42" t="e">
        <f t="shared" si="1"/>
        <v>#VALUE!</v>
      </c>
      <c r="N42" t="e">
        <f>TEXT(#REF!,"DDD")</f>
        <v>#REF!</v>
      </c>
      <c r="O42" t="e">
        <f>WEEKNUM(#REF!)</f>
        <v>#REF!</v>
      </c>
      <c r="P42" t="e">
        <f>INDEX({"Q3","Q3","Q4","Q4","Q4","Q1","Q1","Q1","Q2","Q2","Q2","Q3"},MONTH(#REF!))</f>
        <v>#REF!</v>
      </c>
    </row>
    <row r="43" spans="1:16" x14ac:dyDescent="0.25">
      <c r="A43" s="18"/>
      <c r="B43" s="15"/>
      <c r="K43" t="str">
        <f t="shared" si="2"/>
        <v>Jan-00</v>
      </c>
      <c r="L43">
        <f>HOUR(MedicalData[[#This Row],[Time]])</f>
        <v>0</v>
      </c>
      <c r="M43" t="e">
        <f t="shared" si="1"/>
        <v>#VALUE!</v>
      </c>
      <c r="N43" t="e">
        <f>TEXT(#REF!,"DDD")</f>
        <v>#REF!</v>
      </c>
      <c r="O43" t="e">
        <f>WEEKNUM(#REF!)</f>
        <v>#REF!</v>
      </c>
      <c r="P43" t="e">
        <f>INDEX({"Q3","Q3","Q4","Q4","Q4","Q1","Q1","Q1","Q2","Q2","Q2","Q3"},MONTH(#REF!))</f>
        <v>#REF!</v>
      </c>
    </row>
    <row r="44" spans="1:16" x14ac:dyDescent="0.25">
      <c r="A44" s="18"/>
      <c r="B44" s="15"/>
      <c r="K44" t="str">
        <f t="shared" si="2"/>
        <v>Jan-00</v>
      </c>
      <c r="L44">
        <f>HOUR(MedicalData[[#This Row],[Time]])</f>
        <v>0</v>
      </c>
      <c r="M44" t="e">
        <f t="shared" si="1"/>
        <v>#VALUE!</v>
      </c>
      <c r="N44" t="e">
        <f>TEXT(#REF!,"DDD")</f>
        <v>#REF!</v>
      </c>
      <c r="O44" t="e">
        <f>WEEKNUM(#REF!)</f>
        <v>#REF!</v>
      </c>
      <c r="P44" t="e">
        <f>INDEX({"Q3","Q3","Q4","Q4","Q4","Q1","Q1","Q1","Q2","Q2","Q2","Q3"},MONTH(#REF!))</f>
        <v>#REF!</v>
      </c>
    </row>
    <row r="45" spans="1:16" x14ac:dyDescent="0.25">
      <c r="A45" s="18"/>
      <c r="B45" s="15"/>
      <c r="K45" t="str">
        <f t="shared" si="2"/>
        <v>Jan-00</v>
      </c>
      <c r="L45">
        <f>HOUR(MedicalData[[#This Row],[Time]])</f>
        <v>0</v>
      </c>
      <c r="M45" t="e">
        <f t="shared" si="1"/>
        <v>#VALUE!</v>
      </c>
      <c r="N45" t="e">
        <f>TEXT(#REF!,"DDD")</f>
        <v>#REF!</v>
      </c>
      <c r="O45" t="e">
        <f>WEEKNUM(#REF!)</f>
        <v>#REF!</v>
      </c>
      <c r="P45" t="e">
        <f>INDEX({"Q3","Q3","Q4","Q4","Q4","Q1","Q1","Q1","Q2","Q2","Q2","Q3"},MONTH(#REF!))</f>
        <v>#REF!</v>
      </c>
    </row>
    <row r="46" spans="1:16" x14ac:dyDescent="0.25">
      <c r="A46" s="18"/>
      <c r="B46" s="15"/>
      <c r="K46" t="str">
        <f t="shared" si="2"/>
        <v>Jan-00</v>
      </c>
      <c r="L46">
        <f>HOUR(MedicalData[[#This Row],[Time]])</f>
        <v>0</v>
      </c>
      <c r="M46" t="e">
        <f t="shared" si="1"/>
        <v>#VALUE!</v>
      </c>
      <c r="N46" t="e">
        <f>TEXT(#REF!,"DDD")</f>
        <v>#REF!</v>
      </c>
      <c r="O46" t="e">
        <f>WEEKNUM(#REF!)</f>
        <v>#REF!</v>
      </c>
      <c r="P46" t="e">
        <f>INDEX({"Q3","Q3","Q4","Q4","Q4","Q1","Q1","Q1","Q2","Q2","Q2","Q3"},MONTH(#REF!))</f>
        <v>#REF!</v>
      </c>
    </row>
    <row r="47" spans="1:16" x14ac:dyDescent="0.25">
      <c r="A47" s="18"/>
      <c r="B47" s="15"/>
      <c r="K47" t="str">
        <f t="shared" si="2"/>
        <v>Jan-00</v>
      </c>
      <c r="L47">
        <f>HOUR(MedicalData[[#This Row],[Time]])</f>
        <v>0</v>
      </c>
      <c r="M47" t="e">
        <f t="shared" si="1"/>
        <v>#VALUE!</v>
      </c>
      <c r="N47" t="e">
        <f>TEXT(#REF!,"DDD")</f>
        <v>#REF!</v>
      </c>
      <c r="O47" t="e">
        <f>WEEKNUM(#REF!)</f>
        <v>#REF!</v>
      </c>
      <c r="P47" t="e">
        <f>INDEX({"Q3","Q3","Q4","Q4","Q4","Q1","Q1","Q1","Q2","Q2","Q2","Q3"},MONTH(#REF!))</f>
        <v>#REF!</v>
      </c>
    </row>
    <row r="48" spans="1:16" x14ac:dyDescent="0.25">
      <c r="A48" s="18"/>
      <c r="B48" s="15"/>
      <c r="K48" t="str">
        <f t="shared" si="2"/>
        <v>Jan-00</v>
      </c>
      <c r="L48">
        <f>HOUR(MedicalData[[#This Row],[Time]])</f>
        <v>0</v>
      </c>
      <c r="M48" t="e">
        <f t="shared" si="1"/>
        <v>#VALUE!</v>
      </c>
      <c r="N48" t="e">
        <f>TEXT(#REF!,"DDD")</f>
        <v>#REF!</v>
      </c>
      <c r="O48" t="e">
        <f>WEEKNUM(#REF!)</f>
        <v>#REF!</v>
      </c>
      <c r="P48" t="e">
        <f>INDEX({"Q3","Q3","Q4","Q4","Q4","Q1","Q1","Q1","Q2","Q2","Q2","Q3"},MONTH(#REF!))</f>
        <v>#REF!</v>
      </c>
    </row>
    <row r="49" spans="1:16" x14ac:dyDescent="0.25">
      <c r="A49" s="18"/>
      <c r="B49" s="15"/>
      <c r="K49" t="str">
        <f t="shared" si="2"/>
        <v>Jan-00</v>
      </c>
      <c r="L49">
        <f>HOUR(MedicalData[[#This Row],[Time]])</f>
        <v>0</v>
      </c>
      <c r="M49" t="e">
        <f t="shared" si="1"/>
        <v>#VALUE!</v>
      </c>
      <c r="N49" t="e">
        <f>TEXT(#REF!,"DDD")</f>
        <v>#REF!</v>
      </c>
      <c r="O49" t="e">
        <f>WEEKNUM(#REF!)</f>
        <v>#REF!</v>
      </c>
      <c r="P49" t="e">
        <f>INDEX({"Q3","Q3","Q4","Q4","Q4","Q1","Q1","Q1","Q2","Q2","Q2","Q3"},MONTH(#REF!))</f>
        <v>#REF!</v>
      </c>
    </row>
    <row r="50" spans="1:16" x14ac:dyDescent="0.25">
      <c r="A50" s="18"/>
      <c r="B50" s="15"/>
      <c r="K50" t="str">
        <f t="shared" si="2"/>
        <v>Jan-00</v>
      </c>
      <c r="L50">
        <f>HOUR(MedicalData[[#This Row],[Time]])</f>
        <v>0</v>
      </c>
      <c r="M50" t="e">
        <f t="shared" si="1"/>
        <v>#VALUE!</v>
      </c>
      <c r="N50" t="e">
        <f>TEXT(#REF!,"DDD")</f>
        <v>#REF!</v>
      </c>
      <c r="O50" t="e">
        <f>WEEKNUM(#REF!)</f>
        <v>#REF!</v>
      </c>
      <c r="P50" t="e">
        <f>INDEX({"Q3","Q3","Q4","Q4","Q4","Q1","Q1","Q1","Q2","Q2","Q2","Q3"},MONTH(#REF!))</f>
        <v>#REF!</v>
      </c>
    </row>
    <row r="51" spans="1:16" x14ac:dyDescent="0.25">
      <c r="A51" s="18"/>
      <c r="B51" s="15"/>
      <c r="K51" t="str">
        <f t="shared" si="2"/>
        <v>Jan-00</v>
      </c>
      <c r="L51">
        <f>HOUR(MedicalData[[#This Row],[Time]])</f>
        <v>0</v>
      </c>
      <c r="M51" t="e">
        <f t="shared" si="1"/>
        <v>#VALUE!</v>
      </c>
      <c r="N51" t="e">
        <f>TEXT(#REF!,"DDD")</f>
        <v>#REF!</v>
      </c>
      <c r="O51" t="e">
        <f>WEEKNUM(#REF!)</f>
        <v>#REF!</v>
      </c>
      <c r="P51" t="e">
        <f>INDEX({"Q3","Q3","Q4","Q4","Q4","Q1","Q1","Q1","Q2","Q2","Q2","Q3"},MONTH(#REF!))</f>
        <v>#REF!</v>
      </c>
    </row>
    <row r="52" spans="1:16" x14ac:dyDescent="0.25">
      <c r="A52" s="18"/>
      <c r="B52" s="15"/>
      <c r="K52" t="str">
        <f t="shared" si="2"/>
        <v>Jan-00</v>
      </c>
      <c r="L52">
        <f>HOUR(MedicalData[[#This Row],[Time]])</f>
        <v>0</v>
      </c>
      <c r="M52" t="e">
        <f t="shared" si="1"/>
        <v>#VALUE!</v>
      </c>
      <c r="N52" t="e">
        <f>TEXT(#REF!,"DDD")</f>
        <v>#REF!</v>
      </c>
      <c r="O52" t="e">
        <f>WEEKNUM(#REF!)</f>
        <v>#REF!</v>
      </c>
      <c r="P52" t="e">
        <f>INDEX({"Q3","Q3","Q4","Q4","Q4","Q1","Q1","Q1","Q2","Q2","Q2","Q3"},MONTH(#REF!))</f>
        <v>#REF!</v>
      </c>
    </row>
    <row r="53" spans="1:16" x14ac:dyDescent="0.25">
      <c r="A53" s="18"/>
      <c r="B53" s="15"/>
      <c r="K53" t="str">
        <f t="shared" si="2"/>
        <v>Jan-00</v>
      </c>
      <c r="L53">
        <f>HOUR(MedicalData[[#This Row],[Time]])</f>
        <v>0</v>
      </c>
      <c r="M53" t="e">
        <f t="shared" si="1"/>
        <v>#VALUE!</v>
      </c>
      <c r="N53" t="e">
        <f>TEXT(#REF!,"DDD")</f>
        <v>#REF!</v>
      </c>
      <c r="O53" t="e">
        <f>WEEKNUM(#REF!)</f>
        <v>#REF!</v>
      </c>
      <c r="P53" t="e">
        <f>INDEX({"Q3","Q3","Q4","Q4","Q4","Q1","Q1","Q1","Q2","Q2","Q2","Q3"},MONTH(#REF!))</f>
        <v>#REF!</v>
      </c>
    </row>
    <row r="54" spans="1:16" x14ac:dyDescent="0.25">
      <c r="A54" s="18"/>
      <c r="B54" s="15"/>
      <c r="K54" t="str">
        <f t="shared" si="2"/>
        <v>Jan-00</v>
      </c>
      <c r="L54">
        <f>HOUR(MedicalData[[#This Row],[Time]])</f>
        <v>0</v>
      </c>
      <c r="M54" t="e">
        <f t="shared" si="1"/>
        <v>#VALUE!</v>
      </c>
      <c r="N54" t="e">
        <f>TEXT(#REF!,"DDD")</f>
        <v>#REF!</v>
      </c>
      <c r="O54" t="e">
        <f>WEEKNUM(#REF!)</f>
        <v>#REF!</v>
      </c>
      <c r="P54" t="e">
        <f>INDEX({"Q3","Q3","Q4","Q4","Q4","Q1","Q1","Q1","Q2","Q2","Q2","Q3"},MONTH(#REF!))</f>
        <v>#REF!</v>
      </c>
    </row>
    <row r="55" spans="1:16" x14ac:dyDescent="0.25">
      <c r="A55" s="18"/>
      <c r="B55" s="15"/>
      <c r="K55" t="str">
        <f t="shared" si="2"/>
        <v>Jan-00</v>
      </c>
      <c r="L55">
        <f>HOUR(MedicalData[[#This Row],[Time]])</f>
        <v>0</v>
      </c>
      <c r="M55" t="e">
        <f t="shared" si="1"/>
        <v>#VALUE!</v>
      </c>
      <c r="N55" t="e">
        <f>TEXT(#REF!,"DDD")</f>
        <v>#REF!</v>
      </c>
      <c r="O55" t="e">
        <f>WEEKNUM(#REF!)</f>
        <v>#REF!</v>
      </c>
      <c r="P55" t="e">
        <f>INDEX({"Q3","Q3","Q4","Q4","Q4","Q1","Q1","Q1","Q2","Q2","Q2","Q3"},MONTH(#REF!))</f>
        <v>#REF!</v>
      </c>
    </row>
    <row r="56" spans="1:16" x14ac:dyDescent="0.25">
      <c r="A56" s="18"/>
      <c r="B56" s="15"/>
      <c r="K56" t="str">
        <f t="shared" si="2"/>
        <v>Jan-00</v>
      </c>
      <c r="L56">
        <f>HOUR(MedicalData[[#This Row],[Time]])</f>
        <v>0</v>
      </c>
      <c r="M56" t="e">
        <f t="shared" si="1"/>
        <v>#VALUE!</v>
      </c>
      <c r="N56" t="e">
        <f>TEXT(#REF!,"DDD")</f>
        <v>#REF!</v>
      </c>
      <c r="O56" t="e">
        <f>WEEKNUM(#REF!)</f>
        <v>#REF!</v>
      </c>
      <c r="P56" t="e">
        <f>INDEX({"Q3","Q3","Q4","Q4","Q4","Q1","Q1","Q1","Q2","Q2","Q2","Q3"},MONTH(#REF!))</f>
        <v>#REF!</v>
      </c>
    </row>
    <row r="57" spans="1:16" x14ac:dyDescent="0.25">
      <c r="A57" s="18"/>
      <c r="B57" s="15"/>
      <c r="K57" t="str">
        <f t="shared" si="2"/>
        <v>Jan-00</v>
      </c>
      <c r="L57">
        <f>HOUR(MedicalData[[#This Row],[Time]])</f>
        <v>0</v>
      </c>
      <c r="M57" t="e">
        <f t="shared" si="1"/>
        <v>#VALUE!</v>
      </c>
      <c r="N57" t="e">
        <f>TEXT(#REF!,"DDD")</f>
        <v>#REF!</v>
      </c>
      <c r="O57" t="e">
        <f>WEEKNUM(#REF!)</f>
        <v>#REF!</v>
      </c>
      <c r="P57" t="e">
        <f>INDEX({"Q3","Q3","Q4","Q4","Q4","Q1","Q1","Q1","Q2","Q2","Q2","Q3"},MONTH(#REF!))</f>
        <v>#REF!</v>
      </c>
    </row>
    <row r="58" spans="1:16" x14ac:dyDescent="0.25">
      <c r="A58" s="18"/>
      <c r="B58" s="15"/>
      <c r="K58" t="str">
        <f t="shared" si="2"/>
        <v>Jan-00</v>
      </c>
      <c r="L58">
        <f>HOUR(MedicalData[[#This Row],[Time]])</f>
        <v>0</v>
      </c>
      <c r="M58" t="e">
        <f t="shared" si="1"/>
        <v>#VALUE!</v>
      </c>
      <c r="N58" t="e">
        <f>TEXT(#REF!,"DDD")</f>
        <v>#REF!</v>
      </c>
      <c r="O58" t="e">
        <f>WEEKNUM(#REF!)</f>
        <v>#REF!</v>
      </c>
      <c r="P58" t="e">
        <f>INDEX({"Q3","Q3","Q4","Q4","Q4","Q1","Q1","Q1","Q2","Q2","Q2","Q3"},MONTH(#REF!))</f>
        <v>#REF!</v>
      </c>
    </row>
    <row r="59" spans="1:16" x14ac:dyDescent="0.25">
      <c r="A59" s="18"/>
      <c r="B59" s="15"/>
      <c r="K59" t="str">
        <f t="shared" si="2"/>
        <v>Jan-00</v>
      </c>
      <c r="L59">
        <f>HOUR(MedicalData[[#This Row],[Time]])</f>
        <v>0</v>
      </c>
      <c r="M59" t="e">
        <f t="shared" si="1"/>
        <v>#VALUE!</v>
      </c>
      <c r="N59" t="e">
        <f>TEXT(#REF!,"DDD")</f>
        <v>#REF!</v>
      </c>
      <c r="O59" t="e">
        <f>WEEKNUM(#REF!)</f>
        <v>#REF!</v>
      </c>
      <c r="P59" t="e">
        <f>INDEX({"Q3","Q3","Q4","Q4","Q4","Q1","Q1","Q1","Q2","Q2","Q2","Q3"},MONTH(#REF!))</f>
        <v>#REF!</v>
      </c>
    </row>
    <row r="60" spans="1:16" x14ac:dyDescent="0.25">
      <c r="A60" s="18"/>
      <c r="B60" s="15"/>
      <c r="K60" t="str">
        <f t="shared" si="2"/>
        <v>Jan-00</v>
      </c>
      <c r="L60">
        <f>HOUR(MedicalData[[#This Row],[Time]])</f>
        <v>0</v>
      </c>
      <c r="M60" t="e">
        <f t="shared" si="1"/>
        <v>#VALUE!</v>
      </c>
      <c r="N60" t="e">
        <f>TEXT(#REF!,"DDD")</f>
        <v>#REF!</v>
      </c>
      <c r="O60" t="e">
        <f>WEEKNUM(#REF!)</f>
        <v>#REF!</v>
      </c>
      <c r="P60" t="e">
        <f>INDEX({"Q3","Q3","Q4","Q4","Q4","Q1","Q1","Q1","Q2","Q2","Q2","Q3"},MONTH(#REF!))</f>
        <v>#REF!</v>
      </c>
    </row>
    <row r="61" spans="1:16" x14ac:dyDescent="0.25">
      <c r="A61" s="18"/>
      <c r="B61" s="15"/>
      <c r="K61" t="str">
        <f t="shared" si="2"/>
        <v>Jan-00</v>
      </c>
      <c r="L61">
        <f>HOUR(MedicalData[[#This Row],[Time]])</f>
        <v>0</v>
      </c>
      <c r="M61" t="e">
        <f t="shared" si="1"/>
        <v>#VALUE!</v>
      </c>
      <c r="N61" t="e">
        <f>TEXT(#REF!,"DDD")</f>
        <v>#REF!</v>
      </c>
      <c r="O61" t="e">
        <f>WEEKNUM(#REF!)</f>
        <v>#REF!</v>
      </c>
      <c r="P61" t="e">
        <f>INDEX({"Q3","Q3","Q4","Q4","Q4","Q1","Q1","Q1","Q2","Q2","Q2","Q3"},MONTH(#REF!))</f>
        <v>#REF!</v>
      </c>
    </row>
    <row r="62" spans="1:16" x14ac:dyDescent="0.25">
      <c r="A62" s="18"/>
      <c r="B62" s="15"/>
      <c r="K62" t="str">
        <f t="shared" si="2"/>
        <v>Jan-00</v>
      </c>
      <c r="L62">
        <f>HOUR(MedicalData[[#This Row],[Time]])</f>
        <v>0</v>
      </c>
      <c r="M62" t="e">
        <f t="shared" si="1"/>
        <v>#VALUE!</v>
      </c>
      <c r="N62" t="e">
        <f>TEXT(#REF!,"DDD")</f>
        <v>#REF!</v>
      </c>
      <c r="O62" t="e">
        <f>WEEKNUM(#REF!)</f>
        <v>#REF!</v>
      </c>
      <c r="P62" t="e">
        <f>INDEX({"Q3","Q3","Q4","Q4","Q4","Q1","Q1","Q1","Q2","Q2","Q2","Q3"},MONTH(#REF!))</f>
        <v>#REF!</v>
      </c>
    </row>
    <row r="63" spans="1:16" x14ac:dyDescent="0.25">
      <c r="A63" s="18"/>
      <c r="B63" s="15"/>
      <c r="K63" t="str">
        <f t="shared" si="2"/>
        <v>Jan-00</v>
      </c>
      <c r="L63">
        <f>HOUR(MedicalData[[#This Row],[Time]])</f>
        <v>0</v>
      </c>
      <c r="M63" t="e">
        <f t="shared" si="1"/>
        <v>#VALUE!</v>
      </c>
      <c r="N63" t="e">
        <f>TEXT(#REF!,"DDD")</f>
        <v>#REF!</v>
      </c>
      <c r="O63" t="e">
        <f>WEEKNUM(#REF!)</f>
        <v>#REF!</v>
      </c>
      <c r="P63" t="e">
        <f>INDEX({"Q3","Q3","Q4","Q4","Q4","Q1","Q1","Q1","Q2","Q2","Q2","Q3"},MONTH(#REF!))</f>
        <v>#REF!</v>
      </c>
    </row>
    <row r="64" spans="1:16" x14ac:dyDescent="0.25">
      <c r="A64" s="18"/>
      <c r="B64" s="15"/>
      <c r="K64" t="str">
        <f t="shared" si="2"/>
        <v>Jan-00</v>
      </c>
      <c r="L64">
        <f>HOUR(MedicalData[[#This Row],[Time]])</f>
        <v>0</v>
      </c>
      <c r="M64" t="e">
        <f t="shared" si="1"/>
        <v>#VALUE!</v>
      </c>
      <c r="N64" t="e">
        <f>TEXT(#REF!,"DDD")</f>
        <v>#REF!</v>
      </c>
      <c r="O64" t="e">
        <f>WEEKNUM(#REF!)</f>
        <v>#REF!</v>
      </c>
      <c r="P64" t="e">
        <f>INDEX({"Q3","Q3","Q4","Q4","Q4","Q1","Q1","Q1","Q2","Q2","Q2","Q3"},MONTH(#REF!))</f>
        <v>#REF!</v>
      </c>
    </row>
    <row r="65" spans="1:16" x14ac:dyDescent="0.25">
      <c r="A65" s="18"/>
      <c r="B65" s="15"/>
      <c r="K65" t="str">
        <f t="shared" si="2"/>
        <v>Jan-00</v>
      </c>
      <c r="L65">
        <f>HOUR(MedicalData[[#This Row],[Time]])</f>
        <v>0</v>
      </c>
      <c r="M65" t="e">
        <f t="shared" si="1"/>
        <v>#VALUE!</v>
      </c>
      <c r="N65" t="e">
        <f>TEXT(#REF!,"DDD")</f>
        <v>#REF!</v>
      </c>
      <c r="O65" t="e">
        <f>WEEKNUM(#REF!)</f>
        <v>#REF!</v>
      </c>
      <c r="P65" t="e">
        <f>INDEX({"Q3","Q3","Q4","Q4","Q4","Q1","Q1","Q1","Q2","Q2","Q2","Q3"},MONTH(#REF!))</f>
        <v>#REF!</v>
      </c>
    </row>
    <row r="66" spans="1:16" x14ac:dyDescent="0.25">
      <c r="A66" s="18"/>
      <c r="B66" s="15"/>
      <c r="K66" t="str">
        <f t="shared" si="2"/>
        <v>Jan-00</v>
      </c>
      <c r="L66">
        <f>HOUR(MedicalData[[#This Row],[Time]])</f>
        <v>0</v>
      </c>
      <c r="M66" t="e">
        <f t="shared" si="1"/>
        <v>#VALUE!</v>
      </c>
      <c r="N66" t="e">
        <f>TEXT(#REF!,"DDD")</f>
        <v>#REF!</v>
      </c>
      <c r="O66" t="e">
        <f>WEEKNUM(#REF!)</f>
        <v>#REF!</v>
      </c>
      <c r="P66" t="e">
        <f>INDEX({"Q3","Q3","Q4","Q4","Q4","Q1","Q1","Q1","Q2","Q2","Q2","Q3"},MONTH(#REF!))</f>
        <v>#REF!</v>
      </c>
    </row>
    <row r="67" spans="1:16" x14ac:dyDescent="0.25">
      <c r="A67" s="18"/>
      <c r="B67" s="15"/>
      <c r="K67" t="str">
        <f t="shared" si="2"/>
        <v>Jan-00</v>
      </c>
      <c r="L67">
        <f>HOUR(MedicalData[[#This Row],[Time]])</f>
        <v>0</v>
      </c>
      <c r="M67" t="e">
        <f t="shared" ref="M67:M130" si="3" xml:space="preserve">  IF(_xleta.HOUR&lt;6,"Night",IF(_xleta.HOUR&lt;12,"Morning",IF(_xleta.HOUR&lt;18,"Afternoon","Evening")))</f>
        <v>#VALUE!</v>
      </c>
      <c r="N67" t="e">
        <f>TEXT(#REF!,"DDD")</f>
        <v>#REF!</v>
      </c>
      <c r="O67" t="e">
        <f>WEEKNUM(#REF!)</f>
        <v>#REF!</v>
      </c>
      <c r="P67" t="e">
        <f>INDEX({"Q3","Q3","Q4","Q4","Q4","Q1","Q1","Q1","Q2","Q2","Q2","Q3"},MONTH(#REF!))</f>
        <v>#REF!</v>
      </c>
    </row>
    <row r="68" spans="1:16" x14ac:dyDescent="0.25">
      <c r="A68" s="18"/>
      <c r="B68" s="15"/>
      <c r="K68" t="str">
        <f t="shared" si="2"/>
        <v>Jan-00</v>
      </c>
      <c r="L68">
        <f>HOUR(MedicalData[[#This Row],[Time]])</f>
        <v>0</v>
      </c>
      <c r="M68" t="e">
        <f t="shared" si="3"/>
        <v>#VALUE!</v>
      </c>
      <c r="N68" t="e">
        <f>TEXT(#REF!,"DDD")</f>
        <v>#REF!</v>
      </c>
      <c r="O68" t="e">
        <f>WEEKNUM(#REF!)</f>
        <v>#REF!</v>
      </c>
      <c r="P68" t="e">
        <f>INDEX({"Q3","Q3","Q4","Q4","Q4","Q1","Q1","Q1","Q2","Q2","Q2","Q3"},MONTH(#REF!))</f>
        <v>#REF!</v>
      </c>
    </row>
    <row r="69" spans="1:16" x14ac:dyDescent="0.25">
      <c r="A69" s="18"/>
      <c r="B69" s="15"/>
      <c r="K69" t="str">
        <f t="shared" ref="K69:K132" si="4">TEXT(A69,"MMM-YY")</f>
        <v>Jan-00</v>
      </c>
      <c r="L69">
        <f>HOUR(MedicalData[[#This Row],[Time]])</f>
        <v>0</v>
      </c>
      <c r="M69" t="e">
        <f t="shared" si="3"/>
        <v>#VALUE!</v>
      </c>
      <c r="N69" t="e">
        <f>TEXT(#REF!,"DDD")</f>
        <v>#REF!</v>
      </c>
      <c r="O69" t="e">
        <f>WEEKNUM(#REF!)</f>
        <v>#REF!</v>
      </c>
      <c r="P69" t="e">
        <f>INDEX({"Q3","Q3","Q4","Q4","Q4","Q1","Q1","Q1","Q2","Q2","Q2","Q3"},MONTH(#REF!))</f>
        <v>#REF!</v>
      </c>
    </row>
    <row r="70" spans="1:16" x14ac:dyDescent="0.25">
      <c r="A70" s="18"/>
      <c r="B70" s="15"/>
      <c r="K70" t="str">
        <f t="shared" si="4"/>
        <v>Jan-00</v>
      </c>
      <c r="L70">
        <f>HOUR(MedicalData[[#This Row],[Time]])</f>
        <v>0</v>
      </c>
      <c r="M70" t="e">
        <f t="shared" si="3"/>
        <v>#VALUE!</v>
      </c>
      <c r="N70" t="e">
        <f>TEXT(#REF!,"DDD")</f>
        <v>#REF!</v>
      </c>
      <c r="O70" t="e">
        <f>WEEKNUM(#REF!)</f>
        <v>#REF!</v>
      </c>
      <c r="P70" t="e">
        <f>INDEX({"Q3","Q3","Q4","Q4","Q4","Q1","Q1","Q1","Q2","Q2","Q2","Q3"},MONTH(#REF!))</f>
        <v>#REF!</v>
      </c>
    </row>
    <row r="71" spans="1:16" x14ac:dyDescent="0.25">
      <c r="A71" s="18"/>
      <c r="B71" s="15"/>
      <c r="K71" t="str">
        <f t="shared" si="4"/>
        <v>Jan-00</v>
      </c>
      <c r="L71">
        <f>HOUR(MedicalData[[#This Row],[Time]])</f>
        <v>0</v>
      </c>
      <c r="M71" t="e">
        <f t="shared" si="3"/>
        <v>#VALUE!</v>
      </c>
      <c r="N71" t="e">
        <f>TEXT(#REF!,"DDD")</f>
        <v>#REF!</v>
      </c>
      <c r="O71" t="e">
        <f>WEEKNUM(#REF!)</f>
        <v>#REF!</v>
      </c>
      <c r="P71" t="e">
        <f>INDEX({"Q3","Q3","Q4","Q4","Q4","Q1","Q1","Q1","Q2","Q2","Q2","Q3"},MONTH(#REF!))</f>
        <v>#REF!</v>
      </c>
    </row>
    <row r="72" spans="1:16" x14ac:dyDescent="0.25">
      <c r="A72" s="18"/>
      <c r="B72" s="15"/>
      <c r="K72" t="str">
        <f t="shared" si="4"/>
        <v>Jan-00</v>
      </c>
      <c r="L72">
        <f>HOUR(MedicalData[[#This Row],[Time]])</f>
        <v>0</v>
      </c>
      <c r="M72" t="e">
        <f t="shared" si="3"/>
        <v>#VALUE!</v>
      </c>
      <c r="N72" t="e">
        <f>TEXT(#REF!,"DDD")</f>
        <v>#REF!</v>
      </c>
      <c r="O72" t="e">
        <f>WEEKNUM(#REF!)</f>
        <v>#REF!</v>
      </c>
      <c r="P72" t="e">
        <f>INDEX({"Q3","Q3","Q4","Q4","Q4","Q1","Q1","Q1","Q2","Q2","Q2","Q3"},MONTH(#REF!))</f>
        <v>#REF!</v>
      </c>
    </row>
    <row r="73" spans="1:16" x14ac:dyDescent="0.25">
      <c r="A73" s="18"/>
      <c r="B73" s="15"/>
      <c r="K73" t="str">
        <f t="shared" si="4"/>
        <v>Jan-00</v>
      </c>
      <c r="L73">
        <f>HOUR(MedicalData[[#This Row],[Time]])</f>
        <v>0</v>
      </c>
      <c r="M73" t="e">
        <f t="shared" si="3"/>
        <v>#VALUE!</v>
      </c>
      <c r="N73" t="e">
        <f>TEXT(#REF!,"DDD")</f>
        <v>#REF!</v>
      </c>
      <c r="O73" t="e">
        <f>WEEKNUM(#REF!)</f>
        <v>#REF!</v>
      </c>
      <c r="P73" t="e">
        <f>INDEX({"Q3","Q3","Q4","Q4","Q4","Q1","Q1","Q1","Q2","Q2","Q2","Q3"},MONTH(#REF!))</f>
        <v>#REF!</v>
      </c>
    </row>
    <row r="74" spans="1:16" x14ac:dyDescent="0.25">
      <c r="A74" s="18"/>
      <c r="B74" s="15"/>
      <c r="K74" t="str">
        <f t="shared" si="4"/>
        <v>Jan-00</v>
      </c>
      <c r="L74">
        <f>HOUR(MedicalData[[#This Row],[Time]])</f>
        <v>0</v>
      </c>
      <c r="M74" t="e">
        <f t="shared" si="3"/>
        <v>#VALUE!</v>
      </c>
      <c r="N74" t="e">
        <f>TEXT(#REF!,"DDD")</f>
        <v>#REF!</v>
      </c>
      <c r="O74" t="e">
        <f>WEEKNUM(#REF!)</f>
        <v>#REF!</v>
      </c>
      <c r="P74" t="e">
        <f>INDEX({"Q3","Q3","Q4","Q4","Q4","Q1","Q1","Q1","Q2","Q2","Q2","Q3"},MONTH(#REF!))</f>
        <v>#REF!</v>
      </c>
    </row>
    <row r="75" spans="1:16" x14ac:dyDescent="0.25">
      <c r="A75" s="18"/>
      <c r="B75" s="15"/>
      <c r="K75" t="str">
        <f t="shared" si="4"/>
        <v>Jan-00</v>
      </c>
      <c r="L75">
        <f>HOUR(MedicalData[[#This Row],[Time]])</f>
        <v>0</v>
      </c>
      <c r="M75" t="e">
        <f t="shared" si="3"/>
        <v>#VALUE!</v>
      </c>
      <c r="N75" t="e">
        <f>TEXT(#REF!,"DDD")</f>
        <v>#REF!</v>
      </c>
      <c r="O75" t="e">
        <f>WEEKNUM(#REF!)</f>
        <v>#REF!</v>
      </c>
      <c r="P75" t="e">
        <f>INDEX({"Q3","Q3","Q4","Q4","Q4","Q1","Q1","Q1","Q2","Q2","Q2","Q3"},MONTH(#REF!))</f>
        <v>#REF!</v>
      </c>
    </row>
    <row r="76" spans="1:16" x14ac:dyDescent="0.25">
      <c r="A76" s="18"/>
      <c r="B76" s="15"/>
      <c r="K76" t="str">
        <f t="shared" si="4"/>
        <v>Jan-00</v>
      </c>
      <c r="L76">
        <f>HOUR(MedicalData[[#This Row],[Time]])</f>
        <v>0</v>
      </c>
      <c r="M76" t="e">
        <f t="shared" si="3"/>
        <v>#VALUE!</v>
      </c>
      <c r="N76" t="e">
        <f>TEXT(#REF!,"DDD")</f>
        <v>#REF!</v>
      </c>
      <c r="O76" t="e">
        <f>WEEKNUM(#REF!)</f>
        <v>#REF!</v>
      </c>
      <c r="P76" t="e">
        <f>INDEX({"Q3","Q3","Q4","Q4","Q4","Q1","Q1","Q1","Q2","Q2","Q2","Q3"},MONTH(#REF!))</f>
        <v>#REF!</v>
      </c>
    </row>
    <row r="77" spans="1:16" x14ac:dyDescent="0.25">
      <c r="A77" s="18"/>
      <c r="B77" s="15"/>
      <c r="K77" t="str">
        <f t="shared" si="4"/>
        <v>Jan-00</v>
      </c>
      <c r="L77">
        <f>HOUR(MedicalData[[#This Row],[Time]])</f>
        <v>0</v>
      </c>
      <c r="M77" t="e">
        <f t="shared" si="3"/>
        <v>#VALUE!</v>
      </c>
      <c r="N77" t="e">
        <f>TEXT(#REF!,"DDD")</f>
        <v>#REF!</v>
      </c>
      <c r="O77" t="e">
        <f>WEEKNUM(#REF!)</f>
        <v>#REF!</v>
      </c>
      <c r="P77" t="e">
        <f>INDEX({"Q3","Q3","Q4","Q4","Q4","Q1","Q1","Q1","Q2","Q2","Q2","Q3"},MONTH(#REF!))</f>
        <v>#REF!</v>
      </c>
    </row>
    <row r="78" spans="1:16" x14ac:dyDescent="0.25">
      <c r="A78" s="18"/>
      <c r="B78" s="15"/>
      <c r="K78" t="str">
        <f t="shared" si="4"/>
        <v>Jan-00</v>
      </c>
      <c r="L78">
        <f>HOUR(MedicalData[[#This Row],[Time]])</f>
        <v>0</v>
      </c>
      <c r="M78" t="e">
        <f t="shared" si="3"/>
        <v>#VALUE!</v>
      </c>
      <c r="N78" t="e">
        <f>TEXT(#REF!,"DDD")</f>
        <v>#REF!</v>
      </c>
      <c r="O78" t="e">
        <f>WEEKNUM(#REF!)</f>
        <v>#REF!</v>
      </c>
      <c r="P78" t="e">
        <f>INDEX({"Q3","Q3","Q4","Q4","Q4","Q1","Q1","Q1","Q2","Q2","Q2","Q3"},MONTH(#REF!))</f>
        <v>#REF!</v>
      </c>
    </row>
    <row r="79" spans="1:16" x14ac:dyDescent="0.25">
      <c r="A79" s="18"/>
      <c r="B79" s="15"/>
      <c r="K79" t="str">
        <f t="shared" si="4"/>
        <v>Jan-00</v>
      </c>
      <c r="L79">
        <f>HOUR(MedicalData[[#This Row],[Time]])</f>
        <v>0</v>
      </c>
      <c r="M79" t="e">
        <f t="shared" si="3"/>
        <v>#VALUE!</v>
      </c>
      <c r="N79" t="e">
        <f>TEXT(#REF!,"DDD")</f>
        <v>#REF!</v>
      </c>
      <c r="O79" t="e">
        <f>WEEKNUM(#REF!)</f>
        <v>#REF!</v>
      </c>
      <c r="P79" t="e">
        <f>INDEX({"Q3","Q3","Q4","Q4","Q4","Q1","Q1","Q1","Q2","Q2","Q2","Q3"},MONTH(#REF!))</f>
        <v>#REF!</v>
      </c>
    </row>
    <row r="80" spans="1:16" x14ac:dyDescent="0.25">
      <c r="A80" s="18"/>
      <c r="B80" s="15"/>
      <c r="K80" t="str">
        <f t="shared" si="4"/>
        <v>Jan-00</v>
      </c>
      <c r="L80">
        <f>HOUR(MedicalData[[#This Row],[Time]])</f>
        <v>0</v>
      </c>
      <c r="M80" t="e">
        <f t="shared" si="3"/>
        <v>#VALUE!</v>
      </c>
      <c r="N80" t="e">
        <f>TEXT(#REF!,"DDD")</f>
        <v>#REF!</v>
      </c>
      <c r="O80" t="e">
        <f>WEEKNUM(#REF!)</f>
        <v>#REF!</v>
      </c>
      <c r="P80" t="e">
        <f>INDEX({"Q3","Q3","Q4","Q4","Q4","Q1","Q1","Q1","Q2","Q2","Q2","Q3"},MONTH(#REF!))</f>
        <v>#REF!</v>
      </c>
    </row>
    <row r="81" spans="1:16" x14ac:dyDescent="0.25">
      <c r="A81" s="18"/>
      <c r="B81" s="15"/>
      <c r="K81" t="str">
        <f t="shared" si="4"/>
        <v>Jan-00</v>
      </c>
      <c r="L81">
        <f>HOUR(MedicalData[[#This Row],[Time]])</f>
        <v>0</v>
      </c>
      <c r="M81" t="e">
        <f t="shared" si="3"/>
        <v>#VALUE!</v>
      </c>
      <c r="N81" t="e">
        <f>TEXT(#REF!,"DDD")</f>
        <v>#REF!</v>
      </c>
      <c r="O81" t="e">
        <f>WEEKNUM(#REF!)</f>
        <v>#REF!</v>
      </c>
      <c r="P81" t="e">
        <f>INDEX({"Q3","Q3","Q4","Q4","Q4","Q1","Q1","Q1","Q2","Q2","Q2","Q3"},MONTH(#REF!))</f>
        <v>#REF!</v>
      </c>
    </row>
    <row r="82" spans="1:16" x14ac:dyDescent="0.25">
      <c r="A82" s="18"/>
      <c r="B82" s="15"/>
      <c r="K82" t="str">
        <f t="shared" si="4"/>
        <v>Jan-00</v>
      </c>
      <c r="L82">
        <f>HOUR(MedicalData[[#This Row],[Time]])</f>
        <v>0</v>
      </c>
      <c r="M82" t="e">
        <f t="shared" si="3"/>
        <v>#VALUE!</v>
      </c>
      <c r="N82" t="e">
        <f>TEXT(#REF!,"DDD")</f>
        <v>#REF!</v>
      </c>
      <c r="O82" t="e">
        <f>WEEKNUM(#REF!)</f>
        <v>#REF!</v>
      </c>
      <c r="P82" t="e">
        <f>INDEX({"Q3","Q3","Q4","Q4","Q4","Q1","Q1","Q1","Q2","Q2","Q2","Q3"},MONTH(#REF!))</f>
        <v>#REF!</v>
      </c>
    </row>
    <row r="83" spans="1:16" x14ac:dyDescent="0.25">
      <c r="A83" s="18"/>
      <c r="B83" s="15"/>
      <c r="K83" t="str">
        <f t="shared" si="4"/>
        <v>Jan-00</v>
      </c>
      <c r="L83">
        <f>HOUR(MedicalData[[#This Row],[Time]])</f>
        <v>0</v>
      </c>
      <c r="M83" t="e">
        <f t="shared" si="3"/>
        <v>#VALUE!</v>
      </c>
      <c r="N83" t="e">
        <f>TEXT(#REF!,"DDD")</f>
        <v>#REF!</v>
      </c>
      <c r="O83" t="e">
        <f>WEEKNUM(#REF!)</f>
        <v>#REF!</v>
      </c>
      <c r="P83" t="e">
        <f>INDEX({"Q3","Q3","Q4","Q4","Q4","Q1","Q1","Q1","Q2","Q2","Q2","Q3"},MONTH(#REF!))</f>
        <v>#REF!</v>
      </c>
    </row>
    <row r="84" spans="1:16" x14ac:dyDescent="0.25">
      <c r="A84" s="18"/>
      <c r="B84" s="15"/>
      <c r="K84" t="str">
        <f t="shared" si="4"/>
        <v>Jan-00</v>
      </c>
      <c r="L84">
        <f>HOUR(MedicalData[[#This Row],[Time]])</f>
        <v>0</v>
      </c>
      <c r="M84" t="e">
        <f t="shared" si="3"/>
        <v>#VALUE!</v>
      </c>
      <c r="N84" t="e">
        <f>TEXT(#REF!,"DDD")</f>
        <v>#REF!</v>
      </c>
      <c r="O84" t="e">
        <f>WEEKNUM(#REF!)</f>
        <v>#REF!</v>
      </c>
      <c r="P84" t="e">
        <f>INDEX({"Q3","Q3","Q4","Q4","Q4","Q1","Q1","Q1","Q2","Q2","Q2","Q3"},MONTH(#REF!))</f>
        <v>#REF!</v>
      </c>
    </row>
    <row r="85" spans="1:16" x14ac:dyDescent="0.25">
      <c r="A85" s="18"/>
      <c r="B85" s="15"/>
      <c r="K85" t="str">
        <f t="shared" si="4"/>
        <v>Jan-00</v>
      </c>
      <c r="L85">
        <f>HOUR(MedicalData[[#This Row],[Time]])</f>
        <v>0</v>
      </c>
      <c r="M85" t="e">
        <f t="shared" si="3"/>
        <v>#VALUE!</v>
      </c>
      <c r="N85" t="e">
        <f>TEXT(#REF!,"DDD")</f>
        <v>#REF!</v>
      </c>
      <c r="O85" t="e">
        <f>WEEKNUM(#REF!)</f>
        <v>#REF!</v>
      </c>
      <c r="P85" t="e">
        <f>INDEX({"Q3","Q3","Q4","Q4","Q4","Q1","Q1","Q1","Q2","Q2","Q2","Q3"},MONTH(#REF!))</f>
        <v>#REF!</v>
      </c>
    </row>
    <row r="86" spans="1:16" x14ac:dyDescent="0.25">
      <c r="A86" s="18"/>
      <c r="B86" s="15"/>
      <c r="K86" t="str">
        <f t="shared" si="4"/>
        <v>Jan-00</v>
      </c>
      <c r="L86">
        <f>HOUR(MedicalData[[#This Row],[Time]])</f>
        <v>0</v>
      </c>
      <c r="M86" t="e">
        <f t="shared" si="3"/>
        <v>#VALUE!</v>
      </c>
      <c r="N86" t="e">
        <f>TEXT(#REF!,"DDD")</f>
        <v>#REF!</v>
      </c>
      <c r="O86" t="e">
        <f>WEEKNUM(#REF!)</f>
        <v>#REF!</v>
      </c>
      <c r="P86" t="e">
        <f>INDEX({"Q3","Q3","Q4","Q4","Q4","Q1","Q1","Q1","Q2","Q2","Q2","Q3"},MONTH(#REF!))</f>
        <v>#REF!</v>
      </c>
    </row>
    <row r="87" spans="1:16" x14ac:dyDescent="0.25">
      <c r="A87" s="18"/>
      <c r="B87" s="15"/>
      <c r="K87" t="str">
        <f t="shared" si="4"/>
        <v>Jan-00</v>
      </c>
      <c r="L87">
        <f>HOUR(MedicalData[[#This Row],[Time]])</f>
        <v>0</v>
      </c>
      <c r="M87" t="e">
        <f t="shared" si="3"/>
        <v>#VALUE!</v>
      </c>
      <c r="N87" t="e">
        <f>TEXT(#REF!,"DDD")</f>
        <v>#REF!</v>
      </c>
      <c r="O87" t="e">
        <f>WEEKNUM(#REF!)</f>
        <v>#REF!</v>
      </c>
      <c r="P87" t="e">
        <f>INDEX({"Q3","Q3","Q4","Q4","Q4","Q1","Q1","Q1","Q2","Q2","Q2","Q3"},MONTH(#REF!))</f>
        <v>#REF!</v>
      </c>
    </row>
    <row r="88" spans="1:16" x14ac:dyDescent="0.25">
      <c r="A88" s="18"/>
      <c r="B88" s="15"/>
      <c r="K88" t="str">
        <f t="shared" si="4"/>
        <v>Jan-00</v>
      </c>
      <c r="L88">
        <f>HOUR(MedicalData[[#This Row],[Time]])</f>
        <v>0</v>
      </c>
      <c r="M88" t="e">
        <f t="shared" si="3"/>
        <v>#VALUE!</v>
      </c>
      <c r="N88" t="e">
        <f>TEXT(#REF!,"DDD")</f>
        <v>#REF!</v>
      </c>
      <c r="O88" t="e">
        <f>WEEKNUM(#REF!)</f>
        <v>#REF!</v>
      </c>
      <c r="P88" t="e">
        <f>INDEX({"Q3","Q3","Q4","Q4","Q4","Q1","Q1","Q1","Q2","Q2","Q2","Q3"},MONTH(#REF!))</f>
        <v>#REF!</v>
      </c>
    </row>
    <row r="89" spans="1:16" x14ac:dyDescent="0.25">
      <c r="A89" s="18"/>
      <c r="B89" s="15"/>
      <c r="K89" t="str">
        <f t="shared" si="4"/>
        <v>Jan-00</v>
      </c>
      <c r="L89">
        <f>HOUR(MedicalData[[#This Row],[Time]])</f>
        <v>0</v>
      </c>
      <c r="M89" t="e">
        <f t="shared" si="3"/>
        <v>#VALUE!</v>
      </c>
      <c r="N89" t="e">
        <f>TEXT(#REF!,"DDD")</f>
        <v>#REF!</v>
      </c>
      <c r="O89" t="e">
        <f>WEEKNUM(#REF!)</f>
        <v>#REF!</v>
      </c>
      <c r="P89" t="e">
        <f>INDEX({"Q3","Q3","Q4","Q4","Q4","Q1","Q1","Q1","Q2","Q2","Q2","Q3"},MONTH(#REF!))</f>
        <v>#REF!</v>
      </c>
    </row>
    <row r="90" spans="1:16" x14ac:dyDescent="0.25">
      <c r="A90" s="18"/>
      <c r="B90" s="15"/>
      <c r="K90" t="str">
        <f t="shared" si="4"/>
        <v>Jan-00</v>
      </c>
      <c r="L90">
        <f>HOUR(MedicalData[[#This Row],[Time]])</f>
        <v>0</v>
      </c>
      <c r="M90" t="e">
        <f t="shared" si="3"/>
        <v>#VALUE!</v>
      </c>
      <c r="N90" t="e">
        <f>TEXT(#REF!,"DDD")</f>
        <v>#REF!</v>
      </c>
      <c r="O90" t="e">
        <f>WEEKNUM(#REF!)</f>
        <v>#REF!</v>
      </c>
      <c r="P90" t="e">
        <f>INDEX({"Q3","Q3","Q4","Q4","Q4","Q1","Q1","Q1","Q2","Q2","Q2","Q3"},MONTH(#REF!))</f>
        <v>#REF!</v>
      </c>
    </row>
    <row r="91" spans="1:16" x14ac:dyDescent="0.25">
      <c r="A91" s="18"/>
      <c r="B91" s="15"/>
      <c r="K91" t="str">
        <f t="shared" si="4"/>
        <v>Jan-00</v>
      </c>
      <c r="L91">
        <f>HOUR(MedicalData[[#This Row],[Time]])</f>
        <v>0</v>
      </c>
      <c r="M91" t="e">
        <f t="shared" si="3"/>
        <v>#VALUE!</v>
      </c>
      <c r="N91" t="e">
        <f>TEXT(#REF!,"DDD")</f>
        <v>#REF!</v>
      </c>
      <c r="O91" t="e">
        <f>WEEKNUM(#REF!)</f>
        <v>#REF!</v>
      </c>
      <c r="P91" t="e">
        <f>INDEX({"Q3","Q3","Q4","Q4","Q4","Q1","Q1","Q1","Q2","Q2","Q2","Q3"},MONTH(#REF!))</f>
        <v>#REF!</v>
      </c>
    </row>
    <row r="92" spans="1:16" x14ac:dyDescent="0.25">
      <c r="A92" s="18"/>
      <c r="B92" s="15"/>
      <c r="K92" t="str">
        <f t="shared" si="4"/>
        <v>Jan-00</v>
      </c>
      <c r="L92">
        <f>HOUR(MedicalData[[#This Row],[Time]])</f>
        <v>0</v>
      </c>
      <c r="M92" t="e">
        <f t="shared" si="3"/>
        <v>#VALUE!</v>
      </c>
      <c r="N92" t="e">
        <f>TEXT(#REF!,"DDD")</f>
        <v>#REF!</v>
      </c>
      <c r="O92" t="e">
        <f>WEEKNUM(#REF!)</f>
        <v>#REF!</v>
      </c>
      <c r="P92" t="e">
        <f>INDEX({"Q3","Q3","Q4","Q4","Q4","Q1","Q1","Q1","Q2","Q2","Q2","Q3"},MONTH(#REF!))</f>
        <v>#REF!</v>
      </c>
    </row>
    <row r="93" spans="1:16" x14ac:dyDescent="0.25">
      <c r="A93" s="18"/>
      <c r="B93" s="15"/>
      <c r="K93" t="str">
        <f t="shared" si="4"/>
        <v>Jan-00</v>
      </c>
      <c r="L93">
        <f>HOUR(MedicalData[[#This Row],[Time]])</f>
        <v>0</v>
      </c>
      <c r="M93" t="e">
        <f t="shared" si="3"/>
        <v>#VALUE!</v>
      </c>
      <c r="N93" t="e">
        <f>TEXT(#REF!,"DDD")</f>
        <v>#REF!</v>
      </c>
      <c r="O93" t="e">
        <f>WEEKNUM(#REF!)</f>
        <v>#REF!</v>
      </c>
      <c r="P93" t="e">
        <f>INDEX({"Q3","Q3","Q4","Q4","Q4","Q1","Q1","Q1","Q2","Q2","Q2","Q3"},MONTH(#REF!))</f>
        <v>#REF!</v>
      </c>
    </row>
    <row r="94" spans="1:16" x14ac:dyDescent="0.25">
      <c r="A94" s="18"/>
      <c r="B94" s="15"/>
      <c r="K94" t="str">
        <f t="shared" si="4"/>
        <v>Jan-00</v>
      </c>
      <c r="L94">
        <f>HOUR(MedicalData[[#This Row],[Time]])</f>
        <v>0</v>
      </c>
      <c r="M94" t="e">
        <f t="shared" si="3"/>
        <v>#VALUE!</v>
      </c>
      <c r="N94" t="e">
        <f>TEXT(#REF!,"DDD")</f>
        <v>#REF!</v>
      </c>
      <c r="O94" t="e">
        <f>WEEKNUM(#REF!)</f>
        <v>#REF!</v>
      </c>
      <c r="P94" t="e">
        <f>INDEX({"Q3","Q3","Q4","Q4","Q4","Q1","Q1","Q1","Q2","Q2","Q2","Q3"},MONTH(#REF!))</f>
        <v>#REF!</v>
      </c>
    </row>
    <row r="95" spans="1:16" x14ac:dyDescent="0.25">
      <c r="A95" s="18"/>
      <c r="B95" s="15"/>
      <c r="K95" t="str">
        <f t="shared" si="4"/>
        <v>Jan-00</v>
      </c>
      <c r="L95">
        <f>HOUR(MedicalData[[#This Row],[Time]])</f>
        <v>0</v>
      </c>
      <c r="M95" t="e">
        <f t="shared" si="3"/>
        <v>#VALUE!</v>
      </c>
      <c r="N95" t="e">
        <f>TEXT(#REF!,"DDD")</f>
        <v>#REF!</v>
      </c>
      <c r="O95" t="e">
        <f>WEEKNUM(#REF!)</f>
        <v>#REF!</v>
      </c>
      <c r="P95" t="e">
        <f>INDEX({"Q3","Q3","Q4","Q4","Q4","Q1","Q1","Q1","Q2","Q2","Q2","Q3"},MONTH(#REF!))</f>
        <v>#REF!</v>
      </c>
    </row>
    <row r="96" spans="1:16" x14ac:dyDescent="0.25">
      <c r="A96" s="18"/>
      <c r="B96" s="15"/>
      <c r="K96" t="str">
        <f t="shared" si="4"/>
        <v>Jan-00</v>
      </c>
      <c r="L96">
        <f>HOUR(MedicalData[[#This Row],[Time]])</f>
        <v>0</v>
      </c>
      <c r="M96" t="e">
        <f t="shared" si="3"/>
        <v>#VALUE!</v>
      </c>
      <c r="N96" t="e">
        <f>TEXT(#REF!,"DDD")</f>
        <v>#REF!</v>
      </c>
      <c r="O96" t="e">
        <f>WEEKNUM(#REF!)</f>
        <v>#REF!</v>
      </c>
      <c r="P96" t="e">
        <f>INDEX({"Q3","Q3","Q4","Q4","Q4","Q1","Q1","Q1","Q2","Q2","Q2","Q3"},MONTH(#REF!))</f>
        <v>#REF!</v>
      </c>
    </row>
    <row r="97" spans="1:16" x14ac:dyDescent="0.25">
      <c r="A97" s="18"/>
      <c r="B97" s="15"/>
      <c r="K97" t="str">
        <f t="shared" si="4"/>
        <v>Jan-00</v>
      </c>
      <c r="L97">
        <f>HOUR(MedicalData[[#This Row],[Time]])</f>
        <v>0</v>
      </c>
      <c r="M97" t="e">
        <f t="shared" si="3"/>
        <v>#VALUE!</v>
      </c>
      <c r="N97" t="e">
        <f>TEXT(#REF!,"DDD")</f>
        <v>#REF!</v>
      </c>
      <c r="O97" t="e">
        <f>WEEKNUM(#REF!)</f>
        <v>#REF!</v>
      </c>
      <c r="P97" t="e">
        <f>INDEX({"Q3","Q3","Q4","Q4","Q4","Q1","Q1","Q1","Q2","Q2","Q2","Q3"},MONTH(#REF!))</f>
        <v>#REF!</v>
      </c>
    </row>
    <row r="98" spans="1:16" x14ac:dyDescent="0.25">
      <c r="A98" s="18"/>
      <c r="B98" s="15"/>
      <c r="K98" t="str">
        <f t="shared" si="4"/>
        <v>Jan-00</v>
      </c>
      <c r="L98">
        <f>HOUR(MedicalData[[#This Row],[Time]])</f>
        <v>0</v>
      </c>
      <c r="M98" t="e">
        <f t="shared" si="3"/>
        <v>#VALUE!</v>
      </c>
      <c r="N98" t="e">
        <f>TEXT(#REF!,"DDD")</f>
        <v>#REF!</v>
      </c>
      <c r="O98" t="e">
        <f>WEEKNUM(#REF!)</f>
        <v>#REF!</v>
      </c>
      <c r="P98" t="e">
        <f>INDEX({"Q3","Q3","Q4","Q4","Q4","Q1","Q1","Q1","Q2","Q2","Q2","Q3"},MONTH(#REF!))</f>
        <v>#REF!</v>
      </c>
    </row>
    <row r="99" spans="1:16" x14ac:dyDescent="0.25">
      <c r="A99" s="18"/>
      <c r="B99" s="15"/>
      <c r="K99" t="str">
        <f t="shared" si="4"/>
        <v>Jan-00</v>
      </c>
      <c r="L99">
        <f>HOUR(MedicalData[[#This Row],[Time]])</f>
        <v>0</v>
      </c>
      <c r="M99" t="e">
        <f t="shared" si="3"/>
        <v>#VALUE!</v>
      </c>
      <c r="N99" t="e">
        <f>TEXT(#REF!,"DDD")</f>
        <v>#REF!</v>
      </c>
      <c r="O99" t="e">
        <f>WEEKNUM(#REF!)</f>
        <v>#REF!</v>
      </c>
      <c r="P99" t="e">
        <f>INDEX({"Q3","Q3","Q4","Q4","Q4","Q1","Q1","Q1","Q2","Q2","Q2","Q3"},MONTH(#REF!))</f>
        <v>#REF!</v>
      </c>
    </row>
    <row r="100" spans="1:16" x14ac:dyDescent="0.25">
      <c r="A100" s="18"/>
      <c r="B100" s="15"/>
      <c r="K100" t="str">
        <f t="shared" si="4"/>
        <v>Jan-00</v>
      </c>
      <c r="L100">
        <f>HOUR(MedicalData[[#This Row],[Time]])</f>
        <v>0</v>
      </c>
      <c r="M100" t="e">
        <f t="shared" si="3"/>
        <v>#VALUE!</v>
      </c>
      <c r="N100" t="e">
        <f>TEXT(#REF!,"DDD")</f>
        <v>#REF!</v>
      </c>
      <c r="O100" t="e">
        <f>WEEKNUM(#REF!)</f>
        <v>#REF!</v>
      </c>
      <c r="P100" t="e">
        <f>INDEX({"Q3","Q3","Q4","Q4","Q4","Q1","Q1","Q1","Q2","Q2","Q2","Q3"},MONTH(#REF!))</f>
        <v>#REF!</v>
      </c>
    </row>
    <row r="101" spans="1:16" x14ac:dyDescent="0.25">
      <c r="A101" s="18"/>
      <c r="B101" s="15"/>
      <c r="K101" t="str">
        <f t="shared" si="4"/>
        <v>Jan-00</v>
      </c>
      <c r="L101">
        <f>HOUR(MedicalData[[#This Row],[Time]])</f>
        <v>0</v>
      </c>
      <c r="M101" t="e">
        <f t="shared" si="3"/>
        <v>#VALUE!</v>
      </c>
      <c r="N101" t="e">
        <f>TEXT(#REF!,"DDD")</f>
        <v>#REF!</v>
      </c>
      <c r="O101" t="e">
        <f>WEEKNUM(#REF!)</f>
        <v>#REF!</v>
      </c>
      <c r="P101" t="e">
        <f>INDEX({"Q3","Q3","Q4","Q4","Q4","Q1","Q1","Q1","Q2","Q2","Q2","Q3"},MONTH(#REF!))</f>
        <v>#REF!</v>
      </c>
    </row>
    <row r="102" spans="1:16" x14ac:dyDescent="0.25">
      <c r="A102" s="18"/>
      <c r="B102" s="15"/>
      <c r="K102" t="str">
        <f t="shared" si="4"/>
        <v>Jan-00</v>
      </c>
      <c r="L102">
        <f>HOUR(MedicalData[[#This Row],[Time]])</f>
        <v>0</v>
      </c>
      <c r="M102" t="e">
        <f t="shared" si="3"/>
        <v>#VALUE!</v>
      </c>
      <c r="N102" t="e">
        <f>TEXT(#REF!,"DDD")</f>
        <v>#REF!</v>
      </c>
      <c r="O102" t="e">
        <f>WEEKNUM(#REF!)</f>
        <v>#REF!</v>
      </c>
      <c r="P102" t="e">
        <f>INDEX({"Q3","Q3","Q4","Q4","Q4","Q1","Q1","Q1","Q2","Q2","Q2","Q3"},MONTH(#REF!))</f>
        <v>#REF!</v>
      </c>
    </row>
    <row r="103" spans="1:16" x14ac:dyDescent="0.25">
      <c r="A103" s="18"/>
      <c r="B103" s="15"/>
      <c r="K103" t="str">
        <f t="shared" si="4"/>
        <v>Jan-00</v>
      </c>
      <c r="L103">
        <f>HOUR(MedicalData[[#This Row],[Time]])</f>
        <v>0</v>
      </c>
      <c r="M103" t="e">
        <f t="shared" si="3"/>
        <v>#VALUE!</v>
      </c>
      <c r="N103" t="e">
        <f>TEXT(#REF!,"DDD")</f>
        <v>#REF!</v>
      </c>
      <c r="O103" t="e">
        <f>WEEKNUM(#REF!)</f>
        <v>#REF!</v>
      </c>
      <c r="P103" t="e">
        <f>INDEX({"Q3","Q3","Q4","Q4","Q4","Q1","Q1","Q1","Q2","Q2","Q2","Q3"},MONTH(#REF!))</f>
        <v>#REF!</v>
      </c>
    </row>
    <row r="104" spans="1:16" x14ac:dyDescent="0.25">
      <c r="A104" s="18"/>
      <c r="B104" s="15"/>
      <c r="K104" t="str">
        <f t="shared" si="4"/>
        <v>Jan-00</v>
      </c>
      <c r="L104">
        <f>HOUR(MedicalData[[#This Row],[Time]])</f>
        <v>0</v>
      </c>
      <c r="M104" t="e">
        <f t="shared" si="3"/>
        <v>#VALUE!</v>
      </c>
      <c r="N104" t="e">
        <f>TEXT(#REF!,"DDD")</f>
        <v>#REF!</v>
      </c>
      <c r="O104" t="e">
        <f>WEEKNUM(#REF!)</f>
        <v>#REF!</v>
      </c>
      <c r="P104" t="e">
        <f>INDEX({"Q3","Q3","Q4","Q4","Q4","Q1","Q1","Q1","Q2","Q2","Q2","Q3"},MONTH(#REF!))</f>
        <v>#REF!</v>
      </c>
    </row>
    <row r="105" spans="1:16" x14ac:dyDescent="0.25">
      <c r="A105" s="18"/>
      <c r="B105" s="15"/>
      <c r="K105" t="str">
        <f t="shared" si="4"/>
        <v>Jan-00</v>
      </c>
      <c r="L105">
        <f>HOUR(MedicalData[[#This Row],[Time]])</f>
        <v>0</v>
      </c>
      <c r="M105" t="e">
        <f t="shared" si="3"/>
        <v>#VALUE!</v>
      </c>
      <c r="N105" t="e">
        <f>TEXT(#REF!,"DDD")</f>
        <v>#REF!</v>
      </c>
      <c r="O105" t="e">
        <f>WEEKNUM(#REF!)</f>
        <v>#REF!</v>
      </c>
      <c r="P105" t="e">
        <f>INDEX({"Q3","Q3","Q4","Q4","Q4","Q1","Q1","Q1","Q2","Q2","Q2","Q3"},MONTH(#REF!))</f>
        <v>#REF!</v>
      </c>
    </row>
    <row r="106" spans="1:16" x14ac:dyDescent="0.25">
      <c r="A106" s="18"/>
      <c r="B106" s="15"/>
      <c r="K106" t="str">
        <f t="shared" si="4"/>
        <v>Jan-00</v>
      </c>
      <c r="L106">
        <f>HOUR(MedicalData[[#This Row],[Time]])</f>
        <v>0</v>
      </c>
      <c r="M106" t="e">
        <f t="shared" si="3"/>
        <v>#VALUE!</v>
      </c>
      <c r="N106" t="e">
        <f>TEXT(#REF!,"DDD")</f>
        <v>#REF!</v>
      </c>
      <c r="O106" t="e">
        <f>WEEKNUM(#REF!)</f>
        <v>#REF!</v>
      </c>
      <c r="P106" t="e">
        <f>INDEX({"Q3","Q3","Q4","Q4","Q4","Q1","Q1","Q1","Q2","Q2","Q2","Q3"},MONTH(#REF!))</f>
        <v>#REF!</v>
      </c>
    </row>
    <row r="107" spans="1:16" x14ac:dyDescent="0.25">
      <c r="A107" s="18"/>
      <c r="B107" s="15"/>
      <c r="K107" t="str">
        <f t="shared" si="4"/>
        <v>Jan-00</v>
      </c>
      <c r="L107">
        <f>HOUR(MedicalData[[#This Row],[Time]])</f>
        <v>0</v>
      </c>
      <c r="M107" t="e">
        <f t="shared" si="3"/>
        <v>#VALUE!</v>
      </c>
      <c r="N107" t="e">
        <f>TEXT(#REF!,"DDD")</f>
        <v>#REF!</v>
      </c>
      <c r="O107" t="e">
        <f>WEEKNUM(#REF!)</f>
        <v>#REF!</v>
      </c>
      <c r="P107" t="e">
        <f>INDEX({"Q3","Q3","Q4","Q4","Q4","Q1","Q1","Q1","Q2","Q2","Q2","Q3"},MONTH(#REF!))</f>
        <v>#REF!</v>
      </c>
    </row>
    <row r="108" spans="1:16" x14ac:dyDescent="0.25">
      <c r="A108" s="18"/>
      <c r="B108" s="15"/>
      <c r="K108" t="str">
        <f t="shared" si="4"/>
        <v>Jan-00</v>
      </c>
      <c r="L108">
        <f>HOUR(MedicalData[[#This Row],[Time]])</f>
        <v>0</v>
      </c>
      <c r="M108" t="e">
        <f t="shared" si="3"/>
        <v>#VALUE!</v>
      </c>
      <c r="N108" t="e">
        <f>TEXT(#REF!,"DDD")</f>
        <v>#REF!</v>
      </c>
      <c r="O108" t="e">
        <f>WEEKNUM(#REF!)</f>
        <v>#REF!</v>
      </c>
      <c r="P108" t="e">
        <f>INDEX({"Q3","Q3","Q4","Q4","Q4","Q1","Q1","Q1","Q2","Q2","Q2","Q3"},MONTH(#REF!))</f>
        <v>#REF!</v>
      </c>
    </row>
    <row r="109" spans="1:16" x14ac:dyDescent="0.25">
      <c r="A109" s="18"/>
      <c r="B109" s="15"/>
      <c r="K109" t="str">
        <f t="shared" si="4"/>
        <v>Jan-00</v>
      </c>
      <c r="L109">
        <f>HOUR(MedicalData[[#This Row],[Time]])</f>
        <v>0</v>
      </c>
      <c r="M109" t="e">
        <f t="shared" si="3"/>
        <v>#VALUE!</v>
      </c>
      <c r="N109" t="e">
        <f>TEXT(#REF!,"DDD")</f>
        <v>#REF!</v>
      </c>
      <c r="O109" t="e">
        <f>WEEKNUM(#REF!)</f>
        <v>#REF!</v>
      </c>
      <c r="P109" t="e">
        <f>INDEX({"Q3","Q3","Q4","Q4","Q4","Q1","Q1","Q1","Q2","Q2","Q2","Q3"},MONTH(#REF!))</f>
        <v>#REF!</v>
      </c>
    </row>
    <row r="110" spans="1:16" x14ac:dyDescent="0.25">
      <c r="A110" s="18"/>
      <c r="B110" s="15"/>
      <c r="K110" t="str">
        <f t="shared" si="4"/>
        <v>Jan-00</v>
      </c>
      <c r="L110">
        <f>HOUR(MedicalData[[#This Row],[Time]])</f>
        <v>0</v>
      </c>
      <c r="M110" t="e">
        <f t="shared" si="3"/>
        <v>#VALUE!</v>
      </c>
      <c r="N110" t="e">
        <f>TEXT(#REF!,"DDD")</f>
        <v>#REF!</v>
      </c>
      <c r="O110" t="e">
        <f>WEEKNUM(#REF!)</f>
        <v>#REF!</v>
      </c>
      <c r="P110" t="e">
        <f>INDEX({"Q3","Q3","Q4","Q4","Q4","Q1","Q1","Q1","Q2","Q2","Q2","Q3"},MONTH(#REF!))</f>
        <v>#REF!</v>
      </c>
    </row>
    <row r="111" spans="1:16" x14ac:dyDescent="0.25">
      <c r="A111" s="18"/>
      <c r="B111" s="15"/>
      <c r="K111" t="str">
        <f t="shared" si="4"/>
        <v>Jan-00</v>
      </c>
      <c r="L111">
        <f>HOUR(MedicalData[[#This Row],[Time]])</f>
        <v>0</v>
      </c>
      <c r="M111" t="e">
        <f t="shared" si="3"/>
        <v>#VALUE!</v>
      </c>
      <c r="N111" t="e">
        <f>TEXT(#REF!,"DDD")</f>
        <v>#REF!</v>
      </c>
      <c r="O111" t="e">
        <f>WEEKNUM(#REF!)</f>
        <v>#REF!</v>
      </c>
      <c r="P111" t="e">
        <f>INDEX({"Q3","Q3","Q4","Q4","Q4","Q1","Q1","Q1","Q2","Q2","Q2","Q3"},MONTH(#REF!))</f>
        <v>#REF!</v>
      </c>
    </row>
    <row r="112" spans="1:16" x14ac:dyDescent="0.25">
      <c r="A112" s="18"/>
      <c r="B112" s="15"/>
      <c r="K112" t="str">
        <f t="shared" si="4"/>
        <v>Jan-00</v>
      </c>
      <c r="L112">
        <f>HOUR(MedicalData[[#This Row],[Time]])</f>
        <v>0</v>
      </c>
      <c r="M112" t="e">
        <f t="shared" si="3"/>
        <v>#VALUE!</v>
      </c>
      <c r="N112" t="e">
        <f>TEXT(#REF!,"DDD")</f>
        <v>#REF!</v>
      </c>
      <c r="O112" t="e">
        <f>WEEKNUM(#REF!)</f>
        <v>#REF!</v>
      </c>
      <c r="P112" t="e">
        <f>INDEX({"Q3","Q3","Q4","Q4","Q4","Q1","Q1","Q1","Q2","Q2","Q2","Q3"},MONTH(#REF!))</f>
        <v>#REF!</v>
      </c>
    </row>
    <row r="113" spans="1:16" x14ac:dyDescent="0.25">
      <c r="A113" s="18"/>
      <c r="B113" s="15"/>
      <c r="K113" t="str">
        <f t="shared" si="4"/>
        <v>Jan-00</v>
      </c>
      <c r="L113">
        <f>HOUR(MedicalData[[#This Row],[Time]])</f>
        <v>0</v>
      </c>
      <c r="M113" t="e">
        <f t="shared" si="3"/>
        <v>#VALUE!</v>
      </c>
      <c r="N113" t="e">
        <f>TEXT(#REF!,"DDD")</f>
        <v>#REF!</v>
      </c>
      <c r="O113" t="e">
        <f>WEEKNUM(#REF!)</f>
        <v>#REF!</v>
      </c>
      <c r="P113" t="e">
        <f>INDEX({"Q3","Q3","Q4","Q4","Q4","Q1","Q1","Q1","Q2","Q2","Q2","Q3"},MONTH(#REF!))</f>
        <v>#REF!</v>
      </c>
    </row>
    <row r="114" spans="1:16" x14ac:dyDescent="0.25">
      <c r="A114" s="18"/>
      <c r="B114" s="15"/>
      <c r="K114" t="str">
        <f t="shared" si="4"/>
        <v>Jan-00</v>
      </c>
      <c r="L114">
        <f>HOUR(MedicalData[[#This Row],[Time]])</f>
        <v>0</v>
      </c>
      <c r="M114" t="e">
        <f t="shared" si="3"/>
        <v>#VALUE!</v>
      </c>
      <c r="N114" t="e">
        <f>TEXT(#REF!,"DDD")</f>
        <v>#REF!</v>
      </c>
      <c r="O114" t="e">
        <f>WEEKNUM(#REF!)</f>
        <v>#REF!</v>
      </c>
      <c r="P114" t="e">
        <f>INDEX({"Q3","Q3","Q4","Q4","Q4","Q1","Q1","Q1","Q2","Q2","Q2","Q3"},MONTH(#REF!))</f>
        <v>#REF!</v>
      </c>
    </row>
    <row r="115" spans="1:16" x14ac:dyDescent="0.25">
      <c r="A115" s="18"/>
      <c r="B115" s="15"/>
      <c r="K115" t="str">
        <f t="shared" si="4"/>
        <v>Jan-00</v>
      </c>
      <c r="L115">
        <f>HOUR(MedicalData[[#This Row],[Time]])</f>
        <v>0</v>
      </c>
      <c r="M115" t="e">
        <f t="shared" si="3"/>
        <v>#VALUE!</v>
      </c>
      <c r="N115" t="e">
        <f>TEXT(#REF!,"DDD")</f>
        <v>#REF!</v>
      </c>
      <c r="O115" t="e">
        <f>WEEKNUM(#REF!)</f>
        <v>#REF!</v>
      </c>
      <c r="P115" t="e">
        <f>INDEX({"Q3","Q3","Q4","Q4","Q4","Q1","Q1","Q1","Q2","Q2","Q2","Q3"},MONTH(#REF!))</f>
        <v>#REF!</v>
      </c>
    </row>
    <row r="116" spans="1:16" x14ac:dyDescent="0.25">
      <c r="A116" s="18"/>
      <c r="B116" s="15"/>
      <c r="K116" t="str">
        <f t="shared" si="4"/>
        <v>Jan-00</v>
      </c>
      <c r="L116">
        <f>HOUR(MedicalData[[#This Row],[Time]])</f>
        <v>0</v>
      </c>
      <c r="M116" t="e">
        <f t="shared" si="3"/>
        <v>#VALUE!</v>
      </c>
      <c r="N116" t="e">
        <f>TEXT(#REF!,"DDD")</f>
        <v>#REF!</v>
      </c>
      <c r="O116" t="e">
        <f>WEEKNUM(#REF!)</f>
        <v>#REF!</v>
      </c>
      <c r="P116" t="e">
        <f>INDEX({"Q3","Q3","Q4","Q4","Q4","Q1","Q1","Q1","Q2","Q2","Q2","Q3"},MONTH(#REF!))</f>
        <v>#REF!</v>
      </c>
    </row>
    <row r="117" spans="1:16" x14ac:dyDescent="0.25">
      <c r="A117" s="18"/>
      <c r="B117" s="15"/>
      <c r="K117" t="str">
        <f t="shared" si="4"/>
        <v>Jan-00</v>
      </c>
      <c r="L117">
        <f>HOUR(MedicalData[[#This Row],[Time]])</f>
        <v>0</v>
      </c>
      <c r="M117" t="e">
        <f t="shared" si="3"/>
        <v>#VALUE!</v>
      </c>
      <c r="N117" t="e">
        <f>TEXT(#REF!,"DDD")</f>
        <v>#REF!</v>
      </c>
      <c r="O117" t="e">
        <f>WEEKNUM(#REF!)</f>
        <v>#REF!</v>
      </c>
      <c r="P117" t="e">
        <f>INDEX({"Q3","Q3","Q4","Q4","Q4","Q1","Q1","Q1","Q2","Q2","Q2","Q3"},MONTH(#REF!))</f>
        <v>#REF!</v>
      </c>
    </row>
    <row r="118" spans="1:16" x14ac:dyDescent="0.25">
      <c r="A118" s="18"/>
      <c r="B118" s="15"/>
      <c r="K118" t="str">
        <f t="shared" si="4"/>
        <v>Jan-00</v>
      </c>
      <c r="L118">
        <f>HOUR(MedicalData[[#This Row],[Time]])</f>
        <v>0</v>
      </c>
      <c r="M118" t="e">
        <f t="shared" si="3"/>
        <v>#VALUE!</v>
      </c>
      <c r="N118" t="e">
        <f>TEXT(#REF!,"DDD")</f>
        <v>#REF!</v>
      </c>
      <c r="O118" t="e">
        <f>WEEKNUM(#REF!)</f>
        <v>#REF!</v>
      </c>
      <c r="P118" t="e">
        <f>INDEX({"Q3","Q3","Q4","Q4","Q4","Q1","Q1","Q1","Q2","Q2","Q2","Q3"},MONTH(#REF!))</f>
        <v>#REF!</v>
      </c>
    </row>
    <row r="119" spans="1:16" x14ac:dyDescent="0.25">
      <c r="A119" s="18"/>
      <c r="B119" s="15"/>
      <c r="K119" t="str">
        <f t="shared" si="4"/>
        <v>Jan-00</v>
      </c>
      <c r="L119">
        <f>HOUR(MedicalData[[#This Row],[Time]])</f>
        <v>0</v>
      </c>
      <c r="M119" t="e">
        <f t="shared" si="3"/>
        <v>#VALUE!</v>
      </c>
      <c r="N119" t="e">
        <f>TEXT(#REF!,"DDD")</f>
        <v>#REF!</v>
      </c>
      <c r="O119" t="e">
        <f>WEEKNUM(#REF!)</f>
        <v>#REF!</v>
      </c>
      <c r="P119" t="e">
        <f>INDEX({"Q3","Q3","Q4","Q4","Q4","Q1","Q1","Q1","Q2","Q2","Q2","Q3"},MONTH(#REF!))</f>
        <v>#REF!</v>
      </c>
    </row>
    <row r="120" spans="1:16" x14ac:dyDescent="0.25">
      <c r="A120" s="18"/>
      <c r="B120" s="15"/>
      <c r="K120" t="str">
        <f t="shared" si="4"/>
        <v>Jan-00</v>
      </c>
      <c r="L120">
        <f>HOUR(MedicalData[[#This Row],[Time]])</f>
        <v>0</v>
      </c>
      <c r="M120" t="e">
        <f t="shared" si="3"/>
        <v>#VALUE!</v>
      </c>
      <c r="N120" t="e">
        <f>TEXT(#REF!,"DDD")</f>
        <v>#REF!</v>
      </c>
      <c r="O120" t="e">
        <f>WEEKNUM(#REF!)</f>
        <v>#REF!</v>
      </c>
      <c r="P120" t="e">
        <f>INDEX({"Q3","Q3","Q4","Q4","Q4","Q1","Q1","Q1","Q2","Q2","Q2","Q3"},MONTH(#REF!))</f>
        <v>#REF!</v>
      </c>
    </row>
    <row r="121" spans="1:16" x14ac:dyDescent="0.25">
      <c r="A121" s="18"/>
      <c r="B121" s="15"/>
      <c r="K121" t="str">
        <f t="shared" si="4"/>
        <v>Jan-00</v>
      </c>
      <c r="L121">
        <f>HOUR(MedicalData[[#This Row],[Time]])</f>
        <v>0</v>
      </c>
      <c r="M121" t="e">
        <f t="shared" si="3"/>
        <v>#VALUE!</v>
      </c>
      <c r="N121" t="e">
        <f>TEXT(#REF!,"DDD")</f>
        <v>#REF!</v>
      </c>
      <c r="O121" t="e">
        <f>WEEKNUM(#REF!)</f>
        <v>#REF!</v>
      </c>
      <c r="P121" t="e">
        <f>INDEX({"Q3","Q3","Q4","Q4","Q4","Q1","Q1","Q1","Q2","Q2","Q2","Q3"},MONTH(#REF!))</f>
        <v>#REF!</v>
      </c>
    </row>
    <row r="122" spans="1:16" x14ac:dyDescent="0.25">
      <c r="A122" s="18"/>
      <c r="B122" s="15"/>
      <c r="K122" t="str">
        <f t="shared" si="4"/>
        <v>Jan-00</v>
      </c>
      <c r="L122">
        <f>HOUR(MedicalData[[#This Row],[Time]])</f>
        <v>0</v>
      </c>
      <c r="M122" t="e">
        <f t="shared" si="3"/>
        <v>#VALUE!</v>
      </c>
      <c r="N122" t="e">
        <f>TEXT(#REF!,"DDD")</f>
        <v>#REF!</v>
      </c>
      <c r="O122" t="e">
        <f>WEEKNUM(#REF!)</f>
        <v>#REF!</v>
      </c>
      <c r="P122" t="e">
        <f>INDEX({"Q3","Q3","Q4","Q4","Q4","Q1","Q1","Q1","Q2","Q2","Q2","Q3"},MONTH(#REF!))</f>
        <v>#REF!</v>
      </c>
    </row>
    <row r="123" spans="1:16" x14ac:dyDescent="0.25">
      <c r="A123" s="18"/>
      <c r="B123" s="15"/>
      <c r="K123" t="str">
        <f t="shared" si="4"/>
        <v>Jan-00</v>
      </c>
      <c r="L123">
        <f>HOUR(MedicalData[[#This Row],[Time]])</f>
        <v>0</v>
      </c>
      <c r="M123" t="e">
        <f t="shared" si="3"/>
        <v>#VALUE!</v>
      </c>
      <c r="N123" t="e">
        <f>TEXT(#REF!,"DDD")</f>
        <v>#REF!</v>
      </c>
      <c r="O123" t="e">
        <f>WEEKNUM(#REF!)</f>
        <v>#REF!</v>
      </c>
      <c r="P123" t="e">
        <f>INDEX({"Q3","Q3","Q4","Q4","Q4","Q1","Q1","Q1","Q2","Q2","Q2","Q3"},MONTH(#REF!))</f>
        <v>#REF!</v>
      </c>
    </row>
    <row r="124" spans="1:16" x14ac:dyDescent="0.25">
      <c r="A124" s="18"/>
      <c r="B124" s="15"/>
      <c r="K124" t="str">
        <f t="shared" si="4"/>
        <v>Jan-00</v>
      </c>
      <c r="L124">
        <f>HOUR(MedicalData[[#This Row],[Time]])</f>
        <v>0</v>
      </c>
      <c r="M124" t="e">
        <f t="shared" si="3"/>
        <v>#VALUE!</v>
      </c>
      <c r="N124" t="e">
        <f>TEXT(#REF!,"DDD")</f>
        <v>#REF!</v>
      </c>
      <c r="O124" t="e">
        <f>WEEKNUM(#REF!)</f>
        <v>#REF!</v>
      </c>
      <c r="P124" t="e">
        <f>INDEX({"Q3","Q3","Q4","Q4","Q4","Q1","Q1","Q1","Q2","Q2","Q2","Q3"},MONTH(#REF!))</f>
        <v>#REF!</v>
      </c>
    </row>
    <row r="125" spans="1:16" x14ac:dyDescent="0.25">
      <c r="A125" s="18"/>
      <c r="B125" s="15"/>
      <c r="K125" t="str">
        <f t="shared" si="4"/>
        <v>Jan-00</v>
      </c>
      <c r="L125">
        <f>HOUR(MedicalData[[#This Row],[Time]])</f>
        <v>0</v>
      </c>
      <c r="M125" t="e">
        <f t="shared" si="3"/>
        <v>#VALUE!</v>
      </c>
      <c r="N125" t="e">
        <f>TEXT(#REF!,"DDD")</f>
        <v>#REF!</v>
      </c>
      <c r="O125" t="e">
        <f>WEEKNUM(#REF!)</f>
        <v>#REF!</v>
      </c>
      <c r="P125" t="e">
        <f>INDEX({"Q3","Q3","Q4","Q4","Q4","Q1","Q1","Q1","Q2","Q2","Q2","Q3"},MONTH(#REF!))</f>
        <v>#REF!</v>
      </c>
    </row>
    <row r="126" spans="1:16" x14ac:dyDescent="0.25">
      <c r="A126" s="18"/>
      <c r="B126" s="15"/>
      <c r="K126" t="str">
        <f t="shared" si="4"/>
        <v>Jan-00</v>
      </c>
      <c r="L126">
        <f>HOUR(MedicalData[[#This Row],[Time]])</f>
        <v>0</v>
      </c>
      <c r="M126" t="e">
        <f t="shared" si="3"/>
        <v>#VALUE!</v>
      </c>
      <c r="N126" t="e">
        <f>TEXT(#REF!,"DDD")</f>
        <v>#REF!</v>
      </c>
      <c r="O126" t="e">
        <f>WEEKNUM(#REF!)</f>
        <v>#REF!</v>
      </c>
      <c r="P126" t="e">
        <f>INDEX({"Q3","Q3","Q4","Q4","Q4","Q1","Q1","Q1","Q2","Q2","Q2","Q3"},MONTH(#REF!))</f>
        <v>#REF!</v>
      </c>
    </row>
    <row r="127" spans="1:16" x14ac:dyDescent="0.25">
      <c r="A127" s="18"/>
      <c r="B127" s="15"/>
      <c r="K127" t="str">
        <f t="shared" si="4"/>
        <v>Jan-00</v>
      </c>
      <c r="L127">
        <f>HOUR(MedicalData[[#This Row],[Time]])</f>
        <v>0</v>
      </c>
      <c r="M127" t="e">
        <f t="shared" si="3"/>
        <v>#VALUE!</v>
      </c>
      <c r="N127" t="e">
        <f>TEXT(#REF!,"DDD")</f>
        <v>#REF!</v>
      </c>
      <c r="O127" t="e">
        <f>WEEKNUM(#REF!)</f>
        <v>#REF!</v>
      </c>
      <c r="P127" t="e">
        <f>INDEX({"Q3","Q3","Q4","Q4","Q4","Q1","Q1","Q1","Q2","Q2","Q2","Q3"},MONTH(#REF!))</f>
        <v>#REF!</v>
      </c>
    </row>
    <row r="128" spans="1:16" x14ac:dyDescent="0.25">
      <c r="A128" s="18"/>
      <c r="B128" s="15"/>
      <c r="K128" t="str">
        <f t="shared" si="4"/>
        <v>Jan-00</v>
      </c>
      <c r="L128">
        <f>HOUR(MedicalData[[#This Row],[Time]])</f>
        <v>0</v>
      </c>
      <c r="M128" t="e">
        <f t="shared" si="3"/>
        <v>#VALUE!</v>
      </c>
      <c r="N128" t="e">
        <f>TEXT(#REF!,"DDD")</f>
        <v>#REF!</v>
      </c>
      <c r="O128" t="e">
        <f>WEEKNUM(#REF!)</f>
        <v>#REF!</v>
      </c>
      <c r="P128" t="e">
        <f>INDEX({"Q3","Q3","Q4","Q4","Q4","Q1","Q1","Q1","Q2","Q2","Q2","Q3"},MONTH(#REF!))</f>
        <v>#REF!</v>
      </c>
    </row>
    <row r="129" spans="1:16" x14ac:dyDescent="0.25">
      <c r="A129" s="18"/>
      <c r="B129" s="15"/>
      <c r="K129" t="str">
        <f t="shared" si="4"/>
        <v>Jan-00</v>
      </c>
      <c r="L129">
        <f>HOUR(MedicalData[[#This Row],[Time]])</f>
        <v>0</v>
      </c>
      <c r="M129" t="e">
        <f t="shared" si="3"/>
        <v>#VALUE!</v>
      </c>
      <c r="N129" t="e">
        <f>TEXT(#REF!,"DDD")</f>
        <v>#REF!</v>
      </c>
      <c r="O129" t="e">
        <f>WEEKNUM(#REF!)</f>
        <v>#REF!</v>
      </c>
      <c r="P129" t="e">
        <f>INDEX({"Q3","Q3","Q4","Q4","Q4","Q1","Q1","Q1","Q2","Q2","Q2","Q3"},MONTH(#REF!))</f>
        <v>#REF!</v>
      </c>
    </row>
    <row r="130" spans="1:16" x14ac:dyDescent="0.25">
      <c r="A130" s="18"/>
      <c r="B130" s="15"/>
      <c r="K130" t="str">
        <f t="shared" si="4"/>
        <v>Jan-00</v>
      </c>
      <c r="L130">
        <f>HOUR(MedicalData[[#This Row],[Time]])</f>
        <v>0</v>
      </c>
      <c r="M130" t="e">
        <f t="shared" si="3"/>
        <v>#VALUE!</v>
      </c>
      <c r="N130" t="e">
        <f>TEXT(#REF!,"DDD")</f>
        <v>#REF!</v>
      </c>
      <c r="O130" t="e">
        <f>WEEKNUM(#REF!)</f>
        <v>#REF!</v>
      </c>
      <c r="P130" t="e">
        <f>INDEX({"Q3","Q3","Q4","Q4","Q4","Q1","Q1","Q1","Q2","Q2","Q2","Q3"},MONTH(#REF!))</f>
        <v>#REF!</v>
      </c>
    </row>
    <row r="131" spans="1:16" x14ac:dyDescent="0.25">
      <c r="A131" s="18"/>
      <c r="B131" s="15"/>
      <c r="K131" t="str">
        <f t="shared" si="4"/>
        <v>Jan-00</v>
      </c>
      <c r="L131">
        <f>HOUR(MedicalData[[#This Row],[Time]])</f>
        <v>0</v>
      </c>
      <c r="M131" t="e">
        <f t="shared" ref="M131:M194" si="5" xml:space="preserve">  IF(_xleta.HOUR&lt;6,"Night",IF(_xleta.HOUR&lt;12,"Morning",IF(_xleta.HOUR&lt;18,"Afternoon","Evening")))</f>
        <v>#VALUE!</v>
      </c>
      <c r="N131" t="e">
        <f>TEXT(#REF!,"DDD")</f>
        <v>#REF!</v>
      </c>
      <c r="O131" t="e">
        <f>WEEKNUM(#REF!)</f>
        <v>#REF!</v>
      </c>
      <c r="P131" t="e">
        <f>INDEX({"Q3","Q3","Q4","Q4","Q4","Q1","Q1","Q1","Q2","Q2","Q2","Q3"},MONTH(#REF!))</f>
        <v>#REF!</v>
      </c>
    </row>
    <row r="132" spans="1:16" x14ac:dyDescent="0.25">
      <c r="A132" s="18"/>
      <c r="B132" s="15"/>
      <c r="K132" t="str">
        <f t="shared" si="4"/>
        <v>Jan-00</v>
      </c>
      <c r="L132">
        <f>HOUR(MedicalData[[#This Row],[Time]])</f>
        <v>0</v>
      </c>
      <c r="M132" t="e">
        <f t="shared" si="5"/>
        <v>#VALUE!</v>
      </c>
      <c r="N132" t="e">
        <f>TEXT(#REF!,"DDD")</f>
        <v>#REF!</v>
      </c>
      <c r="O132" t="e">
        <f>WEEKNUM(#REF!)</f>
        <v>#REF!</v>
      </c>
      <c r="P132" t="e">
        <f>INDEX({"Q3","Q3","Q4","Q4","Q4","Q1","Q1","Q1","Q2","Q2","Q2","Q3"},MONTH(#REF!))</f>
        <v>#REF!</v>
      </c>
    </row>
    <row r="133" spans="1:16" x14ac:dyDescent="0.25">
      <c r="A133" s="18"/>
      <c r="B133" s="15"/>
      <c r="K133" t="str">
        <f t="shared" ref="K133:K196" si="6">TEXT(A133,"MMM-YY")</f>
        <v>Jan-00</v>
      </c>
      <c r="L133">
        <f>HOUR(MedicalData[[#This Row],[Time]])</f>
        <v>0</v>
      </c>
      <c r="M133" t="e">
        <f t="shared" si="5"/>
        <v>#VALUE!</v>
      </c>
      <c r="N133" t="e">
        <f>TEXT(#REF!,"DDD")</f>
        <v>#REF!</v>
      </c>
      <c r="O133" t="e">
        <f>WEEKNUM(#REF!)</f>
        <v>#REF!</v>
      </c>
      <c r="P133" t="e">
        <f>INDEX({"Q3","Q3","Q4","Q4","Q4","Q1","Q1","Q1","Q2","Q2","Q2","Q3"},MONTH(#REF!))</f>
        <v>#REF!</v>
      </c>
    </row>
    <row r="134" spans="1:16" x14ac:dyDescent="0.25">
      <c r="A134" s="18"/>
      <c r="B134" s="15"/>
      <c r="K134" t="str">
        <f t="shared" si="6"/>
        <v>Jan-00</v>
      </c>
      <c r="L134">
        <f>HOUR(MedicalData[[#This Row],[Time]])</f>
        <v>0</v>
      </c>
      <c r="M134" t="e">
        <f t="shared" si="5"/>
        <v>#VALUE!</v>
      </c>
      <c r="N134" t="e">
        <f>TEXT(#REF!,"DDD")</f>
        <v>#REF!</v>
      </c>
      <c r="O134" t="e">
        <f>WEEKNUM(#REF!)</f>
        <v>#REF!</v>
      </c>
      <c r="P134" t="e">
        <f>INDEX({"Q3","Q3","Q4","Q4","Q4","Q1","Q1","Q1","Q2","Q2","Q2","Q3"},MONTH(#REF!))</f>
        <v>#REF!</v>
      </c>
    </row>
    <row r="135" spans="1:16" x14ac:dyDescent="0.25">
      <c r="A135" s="18"/>
      <c r="B135" s="15"/>
      <c r="K135" t="str">
        <f t="shared" si="6"/>
        <v>Jan-00</v>
      </c>
      <c r="L135">
        <f>HOUR(MedicalData[[#This Row],[Time]])</f>
        <v>0</v>
      </c>
      <c r="M135" t="e">
        <f t="shared" si="5"/>
        <v>#VALUE!</v>
      </c>
      <c r="N135" t="e">
        <f>TEXT(#REF!,"DDD")</f>
        <v>#REF!</v>
      </c>
      <c r="O135" t="e">
        <f>WEEKNUM(#REF!)</f>
        <v>#REF!</v>
      </c>
      <c r="P135" t="e">
        <f>INDEX({"Q3","Q3","Q4","Q4","Q4","Q1","Q1","Q1","Q2","Q2","Q2","Q3"},MONTH(#REF!))</f>
        <v>#REF!</v>
      </c>
    </row>
    <row r="136" spans="1:16" x14ac:dyDescent="0.25">
      <c r="A136" s="18"/>
      <c r="B136" s="15"/>
      <c r="K136" t="str">
        <f t="shared" si="6"/>
        <v>Jan-00</v>
      </c>
      <c r="L136">
        <f>HOUR(MedicalData[[#This Row],[Time]])</f>
        <v>0</v>
      </c>
      <c r="M136" t="e">
        <f t="shared" si="5"/>
        <v>#VALUE!</v>
      </c>
      <c r="N136" t="e">
        <f>TEXT(#REF!,"DDD")</f>
        <v>#REF!</v>
      </c>
      <c r="O136" t="e">
        <f>WEEKNUM(#REF!)</f>
        <v>#REF!</v>
      </c>
      <c r="P136" t="e">
        <f>INDEX({"Q3","Q3","Q4","Q4","Q4","Q1","Q1","Q1","Q2","Q2","Q2","Q3"},MONTH(#REF!))</f>
        <v>#REF!</v>
      </c>
    </row>
    <row r="137" spans="1:16" x14ac:dyDescent="0.25">
      <c r="A137" s="18"/>
      <c r="B137" s="15"/>
      <c r="K137" t="str">
        <f t="shared" si="6"/>
        <v>Jan-00</v>
      </c>
      <c r="L137">
        <f>HOUR(MedicalData[[#This Row],[Time]])</f>
        <v>0</v>
      </c>
      <c r="M137" t="e">
        <f t="shared" si="5"/>
        <v>#VALUE!</v>
      </c>
      <c r="N137" t="e">
        <f>TEXT(#REF!,"DDD")</f>
        <v>#REF!</v>
      </c>
      <c r="O137" t="e">
        <f>WEEKNUM(#REF!)</f>
        <v>#REF!</v>
      </c>
      <c r="P137" t="e">
        <f>INDEX({"Q3","Q3","Q4","Q4","Q4","Q1","Q1","Q1","Q2","Q2","Q2","Q3"},MONTH(#REF!))</f>
        <v>#REF!</v>
      </c>
    </row>
    <row r="138" spans="1:16" x14ac:dyDescent="0.25">
      <c r="A138" s="18"/>
      <c r="B138" s="15"/>
      <c r="K138" t="str">
        <f t="shared" si="6"/>
        <v>Jan-00</v>
      </c>
      <c r="L138">
        <f>HOUR(MedicalData[[#This Row],[Time]])</f>
        <v>0</v>
      </c>
      <c r="M138" t="e">
        <f t="shared" si="5"/>
        <v>#VALUE!</v>
      </c>
      <c r="N138" t="e">
        <f>TEXT(#REF!,"DDD")</f>
        <v>#REF!</v>
      </c>
      <c r="O138" t="e">
        <f>WEEKNUM(#REF!)</f>
        <v>#REF!</v>
      </c>
      <c r="P138" t="e">
        <f>INDEX({"Q3","Q3","Q4","Q4","Q4","Q1","Q1","Q1","Q2","Q2","Q2","Q3"},MONTH(#REF!))</f>
        <v>#REF!</v>
      </c>
    </row>
    <row r="139" spans="1:16" x14ac:dyDescent="0.25">
      <c r="A139" s="18"/>
      <c r="B139" s="15"/>
      <c r="K139" t="str">
        <f t="shared" si="6"/>
        <v>Jan-00</v>
      </c>
      <c r="L139">
        <f>HOUR(MedicalData[[#This Row],[Time]])</f>
        <v>0</v>
      </c>
      <c r="M139" t="e">
        <f t="shared" si="5"/>
        <v>#VALUE!</v>
      </c>
      <c r="N139" t="e">
        <f>TEXT(#REF!,"DDD")</f>
        <v>#REF!</v>
      </c>
      <c r="O139" t="e">
        <f>WEEKNUM(#REF!)</f>
        <v>#REF!</v>
      </c>
      <c r="P139" t="e">
        <f>INDEX({"Q3","Q3","Q4","Q4","Q4","Q1","Q1","Q1","Q2","Q2","Q2","Q3"},MONTH(#REF!))</f>
        <v>#REF!</v>
      </c>
    </row>
    <row r="140" spans="1:16" x14ac:dyDescent="0.25">
      <c r="A140" s="18"/>
      <c r="B140" s="15"/>
      <c r="K140" t="str">
        <f t="shared" si="6"/>
        <v>Jan-00</v>
      </c>
      <c r="L140">
        <f>HOUR(MedicalData[[#This Row],[Time]])</f>
        <v>0</v>
      </c>
      <c r="M140" t="e">
        <f t="shared" si="5"/>
        <v>#VALUE!</v>
      </c>
      <c r="N140" t="e">
        <f>TEXT(#REF!,"DDD")</f>
        <v>#REF!</v>
      </c>
      <c r="O140" t="e">
        <f>WEEKNUM(#REF!)</f>
        <v>#REF!</v>
      </c>
      <c r="P140" t="e">
        <f>INDEX({"Q3","Q3","Q4","Q4","Q4","Q1","Q1","Q1","Q2","Q2","Q2","Q3"},MONTH(#REF!))</f>
        <v>#REF!</v>
      </c>
    </row>
    <row r="141" spans="1:16" x14ac:dyDescent="0.25">
      <c r="A141" s="18"/>
      <c r="B141" s="15"/>
      <c r="K141" t="str">
        <f t="shared" si="6"/>
        <v>Jan-00</v>
      </c>
      <c r="L141">
        <f>HOUR(MedicalData[[#This Row],[Time]])</f>
        <v>0</v>
      </c>
      <c r="M141" t="e">
        <f t="shared" si="5"/>
        <v>#VALUE!</v>
      </c>
      <c r="N141" t="e">
        <f>TEXT(#REF!,"DDD")</f>
        <v>#REF!</v>
      </c>
      <c r="O141" t="e">
        <f>WEEKNUM(#REF!)</f>
        <v>#REF!</v>
      </c>
      <c r="P141" t="e">
        <f>INDEX({"Q3","Q3","Q4","Q4","Q4","Q1","Q1","Q1","Q2","Q2","Q2","Q3"},MONTH(#REF!))</f>
        <v>#REF!</v>
      </c>
    </row>
    <row r="142" spans="1:16" x14ac:dyDescent="0.25">
      <c r="A142" s="18"/>
      <c r="B142" s="15"/>
      <c r="K142" t="str">
        <f t="shared" si="6"/>
        <v>Jan-00</v>
      </c>
      <c r="L142">
        <f>HOUR(MedicalData[[#This Row],[Time]])</f>
        <v>0</v>
      </c>
      <c r="M142" t="e">
        <f t="shared" si="5"/>
        <v>#VALUE!</v>
      </c>
      <c r="N142" t="e">
        <f>TEXT(#REF!,"DDD")</f>
        <v>#REF!</v>
      </c>
      <c r="O142" t="e">
        <f>WEEKNUM(#REF!)</f>
        <v>#REF!</v>
      </c>
      <c r="P142" t="e">
        <f>INDEX({"Q3","Q3","Q4","Q4","Q4","Q1","Q1","Q1","Q2","Q2","Q2","Q3"},MONTH(#REF!))</f>
        <v>#REF!</v>
      </c>
    </row>
    <row r="143" spans="1:16" x14ac:dyDescent="0.25">
      <c r="A143" s="18"/>
      <c r="B143" s="15"/>
      <c r="K143" t="str">
        <f t="shared" si="6"/>
        <v>Jan-00</v>
      </c>
      <c r="L143">
        <f>HOUR(MedicalData[[#This Row],[Time]])</f>
        <v>0</v>
      </c>
      <c r="M143" t="e">
        <f t="shared" si="5"/>
        <v>#VALUE!</v>
      </c>
      <c r="N143" t="e">
        <f>TEXT(#REF!,"DDD")</f>
        <v>#REF!</v>
      </c>
      <c r="O143" t="e">
        <f>WEEKNUM(#REF!)</f>
        <v>#REF!</v>
      </c>
      <c r="P143" t="e">
        <f>INDEX({"Q3","Q3","Q4","Q4","Q4","Q1","Q1","Q1","Q2","Q2","Q2","Q3"},MONTH(#REF!))</f>
        <v>#REF!</v>
      </c>
    </row>
    <row r="144" spans="1:16" x14ac:dyDescent="0.25">
      <c r="A144" s="18"/>
      <c r="B144" s="15"/>
      <c r="K144" t="str">
        <f t="shared" si="6"/>
        <v>Jan-00</v>
      </c>
      <c r="L144">
        <f>HOUR(MedicalData[[#This Row],[Time]])</f>
        <v>0</v>
      </c>
      <c r="M144" t="e">
        <f t="shared" si="5"/>
        <v>#VALUE!</v>
      </c>
      <c r="N144" t="e">
        <f>TEXT(#REF!,"DDD")</f>
        <v>#REF!</v>
      </c>
      <c r="O144" t="e">
        <f>WEEKNUM(#REF!)</f>
        <v>#REF!</v>
      </c>
      <c r="P144" t="e">
        <f>INDEX({"Q3","Q3","Q4","Q4","Q4","Q1","Q1","Q1","Q2","Q2","Q2","Q3"},MONTH(#REF!))</f>
        <v>#REF!</v>
      </c>
    </row>
    <row r="145" spans="1:16" x14ac:dyDescent="0.25">
      <c r="A145" s="18"/>
      <c r="B145" s="15"/>
      <c r="K145" t="str">
        <f t="shared" si="6"/>
        <v>Jan-00</v>
      </c>
      <c r="L145">
        <f>HOUR(MedicalData[[#This Row],[Time]])</f>
        <v>0</v>
      </c>
      <c r="M145" t="e">
        <f t="shared" si="5"/>
        <v>#VALUE!</v>
      </c>
      <c r="N145" t="e">
        <f>TEXT(#REF!,"DDD")</f>
        <v>#REF!</v>
      </c>
      <c r="O145" t="e">
        <f>WEEKNUM(#REF!)</f>
        <v>#REF!</v>
      </c>
      <c r="P145" t="e">
        <f>INDEX({"Q3","Q3","Q4","Q4","Q4","Q1","Q1","Q1","Q2","Q2","Q2","Q3"},MONTH(#REF!))</f>
        <v>#REF!</v>
      </c>
    </row>
    <row r="146" spans="1:16" x14ac:dyDescent="0.25">
      <c r="A146" s="18"/>
      <c r="B146" s="15"/>
      <c r="K146" t="str">
        <f t="shared" si="6"/>
        <v>Jan-00</v>
      </c>
      <c r="L146">
        <f>HOUR(MedicalData[[#This Row],[Time]])</f>
        <v>0</v>
      </c>
      <c r="M146" t="e">
        <f t="shared" si="5"/>
        <v>#VALUE!</v>
      </c>
      <c r="N146" t="e">
        <f>TEXT(#REF!,"DDD")</f>
        <v>#REF!</v>
      </c>
      <c r="O146" t="e">
        <f>WEEKNUM(#REF!)</f>
        <v>#REF!</v>
      </c>
      <c r="P146" t="e">
        <f>INDEX({"Q3","Q3","Q4","Q4","Q4","Q1","Q1","Q1","Q2","Q2","Q2","Q3"},MONTH(#REF!))</f>
        <v>#REF!</v>
      </c>
    </row>
    <row r="147" spans="1:16" x14ac:dyDescent="0.25">
      <c r="A147" s="18"/>
      <c r="B147" s="15"/>
      <c r="K147" t="str">
        <f t="shared" si="6"/>
        <v>Jan-00</v>
      </c>
      <c r="L147">
        <f>HOUR(MedicalData[[#This Row],[Time]])</f>
        <v>0</v>
      </c>
      <c r="M147" t="e">
        <f t="shared" si="5"/>
        <v>#VALUE!</v>
      </c>
      <c r="N147" t="e">
        <f>TEXT(#REF!,"DDD")</f>
        <v>#REF!</v>
      </c>
      <c r="O147" t="e">
        <f>WEEKNUM(#REF!)</f>
        <v>#REF!</v>
      </c>
      <c r="P147" t="e">
        <f>INDEX({"Q3","Q3","Q4","Q4","Q4","Q1","Q1","Q1","Q2","Q2","Q2","Q3"},MONTH(#REF!))</f>
        <v>#REF!</v>
      </c>
    </row>
    <row r="148" spans="1:16" x14ac:dyDescent="0.25">
      <c r="A148" s="18"/>
      <c r="B148" s="15"/>
      <c r="K148" t="str">
        <f t="shared" si="6"/>
        <v>Jan-00</v>
      </c>
      <c r="L148">
        <f>HOUR(MedicalData[[#This Row],[Time]])</f>
        <v>0</v>
      </c>
      <c r="M148" t="e">
        <f t="shared" si="5"/>
        <v>#VALUE!</v>
      </c>
      <c r="N148" t="e">
        <f>TEXT(#REF!,"DDD")</f>
        <v>#REF!</v>
      </c>
      <c r="O148" t="e">
        <f>WEEKNUM(#REF!)</f>
        <v>#REF!</v>
      </c>
      <c r="P148" t="e">
        <f>INDEX({"Q3","Q3","Q4","Q4","Q4","Q1","Q1","Q1","Q2","Q2","Q2","Q3"},MONTH(#REF!))</f>
        <v>#REF!</v>
      </c>
    </row>
    <row r="149" spans="1:16" x14ac:dyDescent="0.25">
      <c r="A149" s="18"/>
      <c r="B149" s="15"/>
      <c r="K149" t="str">
        <f t="shared" si="6"/>
        <v>Jan-00</v>
      </c>
      <c r="L149">
        <f>HOUR(MedicalData[[#This Row],[Time]])</f>
        <v>0</v>
      </c>
      <c r="M149" t="e">
        <f t="shared" si="5"/>
        <v>#VALUE!</v>
      </c>
      <c r="N149" t="e">
        <f>TEXT(#REF!,"DDD")</f>
        <v>#REF!</v>
      </c>
      <c r="O149" t="e">
        <f>WEEKNUM(#REF!)</f>
        <v>#REF!</v>
      </c>
      <c r="P149" t="e">
        <f>INDEX({"Q3","Q3","Q4","Q4","Q4","Q1","Q1","Q1","Q2","Q2","Q2","Q3"},MONTH(#REF!))</f>
        <v>#REF!</v>
      </c>
    </row>
    <row r="150" spans="1:16" x14ac:dyDescent="0.25">
      <c r="A150" s="18"/>
      <c r="B150" s="15"/>
      <c r="K150" t="str">
        <f t="shared" si="6"/>
        <v>Jan-00</v>
      </c>
      <c r="L150">
        <f>HOUR(MedicalData[[#This Row],[Time]])</f>
        <v>0</v>
      </c>
      <c r="M150" t="e">
        <f t="shared" si="5"/>
        <v>#VALUE!</v>
      </c>
      <c r="N150" t="e">
        <f>TEXT(#REF!,"DDD")</f>
        <v>#REF!</v>
      </c>
      <c r="O150" t="e">
        <f>WEEKNUM(#REF!)</f>
        <v>#REF!</v>
      </c>
      <c r="P150" t="e">
        <f>INDEX({"Q3","Q3","Q4","Q4","Q4","Q1","Q1","Q1","Q2","Q2","Q2","Q3"},MONTH(#REF!))</f>
        <v>#REF!</v>
      </c>
    </row>
    <row r="151" spans="1:16" x14ac:dyDescent="0.25">
      <c r="A151" s="18"/>
      <c r="B151" s="15"/>
      <c r="K151" t="str">
        <f t="shared" si="6"/>
        <v>Jan-00</v>
      </c>
      <c r="L151">
        <f>HOUR(MedicalData[[#This Row],[Time]])</f>
        <v>0</v>
      </c>
      <c r="M151" t="e">
        <f t="shared" si="5"/>
        <v>#VALUE!</v>
      </c>
      <c r="N151" t="e">
        <f>TEXT(#REF!,"DDD")</f>
        <v>#REF!</v>
      </c>
      <c r="O151" t="e">
        <f>WEEKNUM(#REF!)</f>
        <v>#REF!</v>
      </c>
      <c r="P151" t="e">
        <f>INDEX({"Q3","Q3","Q4","Q4","Q4","Q1","Q1","Q1","Q2","Q2","Q2","Q3"},MONTH(#REF!))</f>
        <v>#REF!</v>
      </c>
    </row>
    <row r="152" spans="1:16" x14ac:dyDescent="0.25">
      <c r="A152" s="18"/>
      <c r="B152" s="15"/>
      <c r="K152" t="str">
        <f t="shared" si="6"/>
        <v>Jan-00</v>
      </c>
      <c r="L152">
        <f>HOUR(MedicalData[[#This Row],[Time]])</f>
        <v>0</v>
      </c>
      <c r="M152" t="e">
        <f t="shared" si="5"/>
        <v>#VALUE!</v>
      </c>
      <c r="N152" t="e">
        <f>TEXT(#REF!,"DDD")</f>
        <v>#REF!</v>
      </c>
      <c r="O152" t="e">
        <f>WEEKNUM(#REF!)</f>
        <v>#REF!</v>
      </c>
      <c r="P152" t="e">
        <f>INDEX({"Q3","Q3","Q4","Q4","Q4","Q1","Q1","Q1","Q2","Q2","Q2","Q3"},MONTH(#REF!))</f>
        <v>#REF!</v>
      </c>
    </row>
    <row r="153" spans="1:16" x14ac:dyDescent="0.25">
      <c r="A153" s="18"/>
      <c r="B153" s="15"/>
      <c r="K153" t="str">
        <f t="shared" si="6"/>
        <v>Jan-00</v>
      </c>
      <c r="L153">
        <f>HOUR(MedicalData[[#This Row],[Time]])</f>
        <v>0</v>
      </c>
      <c r="M153" t="e">
        <f t="shared" si="5"/>
        <v>#VALUE!</v>
      </c>
      <c r="N153" t="e">
        <f>TEXT(#REF!,"DDD")</f>
        <v>#REF!</v>
      </c>
      <c r="O153" t="e">
        <f>WEEKNUM(#REF!)</f>
        <v>#REF!</v>
      </c>
      <c r="P153" t="e">
        <f>INDEX({"Q3","Q3","Q4","Q4","Q4","Q1","Q1","Q1","Q2","Q2","Q2","Q3"},MONTH(#REF!))</f>
        <v>#REF!</v>
      </c>
    </row>
    <row r="154" spans="1:16" x14ac:dyDescent="0.25">
      <c r="A154" s="18"/>
      <c r="B154" s="15"/>
      <c r="K154" t="str">
        <f t="shared" si="6"/>
        <v>Jan-00</v>
      </c>
      <c r="L154">
        <f>HOUR(MedicalData[[#This Row],[Time]])</f>
        <v>0</v>
      </c>
      <c r="M154" t="e">
        <f t="shared" si="5"/>
        <v>#VALUE!</v>
      </c>
      <c r="N154" t="e">
        <f>TEXT(#REF!,"DDD")</f>
        <v>#REF!</v>
      </c>
      <c r="O154" t="e">
        <f>WEEKNUM(#REF!)</f>
        <v>#REF!</v>
      </c>
      <c r="P154" t="e">
        <f>INDEX({"Q3","Q3","Q4","Q4","Q4","Q1","Q1","Q1","Q2","Q2","Q2","Q3"},MONTH(#REF!))</f>
        <v>#REF!</v>
      </c>
    </row>
    <row r="155" spans="1:16" x14ac:dyDescent="0.25">
      <c r="A155" s="18"/>
      <c r="B155" s="15"/>
      <c r="K155" t="str">
        <f t="shared" si="6"/>
        <v>Jan-00</v>
      </c>
      <c r="L155">
        <f>HOUR(MedicalData[[#This Row],[Time]])</f>
        <v>0</v>
      </c>
      <c r="M155" t="e">
        <f t="shared" si="5"/>
        <v>#VALUE!</v>
      </c>
      <c r="N155" t="e">
        <f>TEXT(#REF!,"DDD")</f>
        <v>#REF!</v>
      </c>
      <c r="O155" t="e">
        <f>WEEKNUM(#REF!)</f>
        <v>#REF!</v>
      </c>
      <c r="P155" t="e">
        <f>INDEX({"Q3","Q3","Q4","Q4","Q4","Q1","Q1","Q1","Q2","Q2","Q2","Q3"},MONTH(#REF!))</f>
        <v>#REF!</v>
      </c>
    </row>
    <row r="156" spans="1:16" x14ac:dyDescent="0.25">
      <c r="A156" s="18"/>
      <c r="B156" s="15"/>
      <c r="K156" t="str">
        <f t="shared" si="6"/>
        <v>Jan-00</v>
      </c>
      <c r="L156">
        <f>HOUR(MedicalData[[#This Row],[Time]])</f>
        <v>0</v>
      </c>
      <c r="M156" t="e">
        <f t="shared" si="5"/>
        <v>#VALUE!</v>
      </c>
      <c r="N156" t="e">
        <f>TEXT(#REF!,"DDD")</f>
        <v>#REF!</v>
      </c>
      <c r="O156" t="e">
        <f>WEEKNUM(#REF!)</f>
        <v>#REF!</v>
      </c>
      <c r="P156" t="e">
        <f>INDEX({"Q3","Q3","Q4","Q4","Q4","Q1","Q1","Q1","Q2","Q2","Q2","Q3"},MONTH(#REF!))</f>
        <v>#REF!</v>
      </c>
    </row>
    <row r="157" spans="1:16" x14ac:dyDescent="0.25">
      <c r="A157" s="18"/>
      <c r="B157" s="15"/>
      <c r="K157" t="str">
        <f t="shared" si="6"/>
        <v>Jan-00</v>
      </c>
      <c r="L157">
        <f>HOUR(MedicalData[[#This Row],[Time]])</f>
        <v>0</v>
      </c>
      <c r="M157" t="e">
        <f t="shared" si="5"/>
        <v>#VALUE!</v>
      </c>
      <c r="N157" t="e">
        <f>TEXT(#REF!,"DDD")</f>
        <v>#REF!</v>
      </c>
      <c r="O157" t="e">
        <f>WEEKNUM(#REF!)</f>
        <v>#REF!</v>
      </c>
      <c r="P157" t="e">
        <f>INDEX({"Q3","Q3","Q4","Q4","Q4","Q1","Q1","Q1","Q2","Q2","Q2","Q3"},MONTH(#REF!))</f>
        <v>#REF!</v>
      </c>
    </row>
    <row r="158" spans="1:16" x14ac:dyDescent="0.25">
      <c r="A158" s="18"/>
      <c r="B158" s="15"/>
      <c r="K158" t="str">
        <f t="shared" si="6"/>
        <v>Jan-00</v>
      </c>
      <c r="L158">
        <f>HOUR(MedicalData[[#This Row],[Time]])</f>
        <v>0</v>
      </c>
      <c r="M158" t="e">
        <f t="shared" si="5"/>
        <v>#VALUE!</v>
      </c>
      <c r="N158" t="e">
        <f>TEXT(#REF!,"DDD")</f>
        <v>#REF!</v>
      </c>
      <c r="O158" t="e">
        <f>WEEKNUM(#REF!)</f>
        <v>#REF!</v>
      </c>
      <c r="P158" t="e">
        <f>INDEX({"Q3","Q3","Q4","Q4","Q4","Q1","Q1","Q1","Q2","Q2","Q2","Q3"},MONTH(#REF!))</f>
        <v>#REF!</v>
      </c>
    </row>
    <row r="159" spans="1:16" x14ac:dyDescent="0.25">
      <c r="A159" s="18"/>
      <c r="B159" s="15"/>
      <c r="K159" t="str">
        <f t="shared" si="6"/>
        <v>Jan-00</v>
      </c>
      <c r="L159">
        <f>HOUR(MedicalData[[#This Row],[Time]])</f>
        <v>0</v>
      </c>
      <c r="M159" t="e">
        <f t="shared" si="5"/>
        <v>#VALUE!</v>
      </c>
      <c r="N159" t="e">
        <f>TEXT(#REF!,"DDD")</f>
        <v>#REF!</v>
      </c>
      <c r="O159" t="e">
        <f>WEEKNUM(#REF!)</f>
        <v>#REF!</v>
      </c>
      <c r="P159" t="e">
        <f>INDEX({"Q3","Q3","Q4","Q4","Q4","Q1","Q1","Q1","Q2","Q2","Q2","Q3"},MONTH(#REF!))</f>
        <v>#REF!</v>
      </c>
    </row>
    <row r="160" spans="1:16" x14ac:dyDescent="0.25">
      <c r="A160" s="18"/>
      <c r="B160" s="15"/>
      <c r="K160" t="str">
        <f t="shared" si="6"/>
        <v>Jan-00</v>
      </c>
      <c r="L160">
        <f>HOUR(MedicalData[[#This Row],[Time]])</f>
        <v>0</v>
      </c>
      <c r="M160" t="e">
        <f t="shared" si="5"/>
        <v>#VALUE!</v>
      </c>
      <c r="N160" t="e">
        <f>TEXT(#REF!,"DDD")</f>
        <v>#REF!</v>
      </c>
      <c r="O160" t="e">
        <f>WEEKNUM(#REF!)</f>
        <v>#REF!</v>
      </c>
      <c r="P160" t="e">
        <f>INDEX({"Q3","Q3","Q4","Q4","Q4","Q1","Q1","Q1","Q2","Q2","Q2","Q3"},MONTH(#REF!))</f>
        <v>#REF!</v>
      </c>
    </row>
    <row r="161" spans="1:16" x14ac:dyDescent="0.25">
      <c r="A161" s="18"/>
      <c r="B161" s="15"/>
      <c r="K161" t="str">
        <f t="shared" si="6"/>
        <v>Jan-00</v>
      </c>
      <c r="L161">
        <f>HOUR(MedicalData[[#This Row],[Time]])</f>
        <v>0</v>
      </c>
      <c r="M161" t="e">
        <f t="shared" si="5"/>
        <v>#VALUE!</v>
      </c>
      <c r="N161" t="e">
        <f>TEXT(#REF!,"DDD")</f>
        <v>#REF!</v>
      </c>
      <c r="O161" t="e">
        <f>WEEKNUM(#REF!)</f>
        <v>#REF!</v>
      </c>
      <c r="P161" t="e">
        <f>INDEX({"Q3","Q3","Q4","Q4","Q4","Q1","Q1","Q1","Q2","Q2","Q2","Q3"},MONTH(#REF!))</f>
        <v>#REF!</v>
      </c>
    </row>
    <row r="162" spans="1:16" x14ac:dyDescent="0.25">
      <c r="A162" s="18"/>
      <c r="B162" s="15"/>
      <c r="K162" t="str">
        <f t="shared" si="6"/>
        <v>Jan-00</v>
      </c>
      <c r="L162">
        <f>HOUR(MedicalData[[#This Row],[Time]])</f>
        <v>0</v>
      </c>
      <c r="M162" t="e">
        <f t="shared" si="5"/>
        <v>#VALUE!</v>
      </c>
      <c r="N162" t="e">
        <f>TEXT(#REF!,"DDD")</f>
        <v>#REF!</v>
      </c>
      <c r="O162" t="e">
        <f>WEEKNUM(#REF!)</f>
        <v>#REF!</v>
      </c>
      <c r="P162" t="e">
        <f>INDEX({"Q3","Q3","Q4","Q4","Q4","Q1","Q1","Q1","Q2","Q2","Q2","Q3"},MONTH(#REF!))</f>
        <v>#REF!</v>
      </c>
    </row>
    <row r="163" spans="1:16" x14ac:dyDescent="0.25">
      <c r="A163" s="18"/>
      <c r="B163" s="15"/>
      <c r="K163" t="str">
        <f t="shared" si="6"/>
        <v>Jan-00</v>
      </c>
      <c r="L163">
        <f>HOUR(MedicalData[[#This Row],[Time]])</f>
        <v>0</v>
      </c>
      <c r="M163" t="e">
        <f t="shared" si="5"/>
        <v>#VALUE!</v>
      </c>
      <c r="N163" t="e">
        <f>TEXT(#REF!,"DDD")</f>
        <v>#REF!</v>
      </c>
      <c r="O163" t="e">
        <f>WEEKNUM(#REF!)</f>
        <v>#REF!</v>
      </c>
      <c r="P163" t="e">
        <f>INDEX({"Q3","Q3","Q4","Q4","Q4","Q1","Q1","Q1","Q2","Q2","Q2","Q3"},MONTH(#REF!))</f>
        <v>#REF!</v>
      </c>
    </row>
    <row r="164" spans="1:16" x14ac:dyDescent="0.25">
      <c r="A164" s="18"/>
      <c r="B164" s="15"/>
      <c r="K164" t="str">
        <f t="shared" si="6"/>
        <v>Jan-00</v>
      </c>
      <c r="L164">
        <f>HOUR(MedicalData[[#This Row],[Time]])</f>
        <v>0</v>
      </c>
      <c r="M164" t="e">
        <f t="shared" si="5"/>
        <v>#VALUE!</v>
      </c>
      <c r="N164" t="e">
        <f>TEXT(#REF!,"DDD")</f>
        <v>#REF!</v>
      </c>
      <c r="O164" t="e">
        <f>WEEKNUM(#REF!)</f>
        <v>#REF!</v>
      </c>
      <c r="P164" t="e">
        <f>INDEX({"Q3","Q3","Q4","Q4","Q4","Q1","Q1","Q1","Q2","Q2","Q2","Q3"},MONTH(#REF!))</f>
        <v>#REF!</v>
      </c>
    </row>
    <row r="165" spans="1:16" x14ac:dyDescent="0.25">
      <c r="A165" s="18"/>
      <c r="B165" s="15"/>
      <c r="K165" t="str">
        <f t="shared" si="6"/>
        <v>Jan-00</v>
      </c>
      <c r="L165">
        <f>HOUR(MedicalData[[#This Row],[Time]])</f>
        <v>0</v>
      </c>
      <c r="M165" t="e">
        <f t="shared" si="5"/>
        <v>#VALUE!</v>
      </c>
      <c r="N165" t="e">
        <f>TEXT(#REF!,"DDD")</f>
        <v>#REF!</v>
      </c>
      <c r="O165" t="e">
        <f>WEEKNUM(#REF!)</f>
        <v>#REF!</v>
      </c>
      <c r="P165" t="e">
        <f>INDEX({"Q3","Q3","Q4","Q4","Q4","Q1","Q1","Q1","Q2","Q2","Q2","Q3"},MONTH(#REF!))</f>
        <v>#REF!</v>
      </c>
    </row>
    <row r="166" spans="1:16" x14ac:dyDescent="0.25">
      <c r="A166" s="18"/>
      <c r="B166" s="15"/>
      <c r="K166" t="str">
        <f t="shared" si="6"/>
        <v>Jan-00</v>
      </c>
      <c r="L166">
        <f>HOUR(MedicalData[[#This Row],[Time]])</f>
        <v>0</v>
      </c>
      <c r="M166" t="e">
        <f t="shared" si="5"/>
        <v>#VALUE!</v>
      </c>
      <c r="N166" t="e">
        <f>TEXT(#REF!,"DDD")</f>
        <v>#REF!</v>
      </c>
      <c r="O166" t="e">
        <f>WEEKNUM(#REF!)</f>
        <v>#REF!</v>
      </c>
      <c r="P166" t="e">
        <f>INDEX({"Q3","Q3","Q4","Q4","Q4","Q1","Q1","Q1","Q2","Q2","Q2","Q3"},MONTH(#REF!))</f>
        <v>#REF!</v>
      </c>
    </row>
    <row r="167" spans="1:16" x14ac:dyDescent="0.25">
      <c r="A167" s="18"/>
      <c r="B167" s="15"/>
      <c r="K167" t="str">
        <f t="shared" si="6"/>
        <v>Jan-00</v>
      </c>
      <c r="L167">
        <f>HOUR(MedicalData[[#This Row],[Time]])</f>
        <v>0</v>
      </c>
      <c r="M167" t="e">
        <f t="shared" si="5"/>
        <v>#VALUE!</v>
      </c>
      <c r="N167" t="e">
        <f>TEXT(#REF!,"DDD")</f>
        <v>#REF!</v>
      </c>
      <c r="O167" t="e">
        <f>WEEKNUM(#REF!)</f>
        <v>#REF!</v>
      </c>
      <c r="P167" t="e">
        <f>INDEX({"Q3","Q3","Q4","Q4","Q4","Q1","Q1","Q1","Q2","Q2","Q2","Q3"},MONTH(#REF!))</f>
        <v>#REF!</v>
      </c>
    </row>
    <row r="168" spans="1:16" x14ac:dyDescent="0.25">
      <c r="A168" s="18"/>
      <c r="B168" s="15"/>
      <c r="K168" t="str">
        <f t="shared" si="6"/>
        <v>Jan-00</v>
      </c>
      <c r="L168">
        <f>HOUR(MedicalData[[#This Row],[Time]])</f>
        <v>0</v>
      </c>
      <c r="M168" t="e">
        <f t="shared" si="5"/>
        <v>#VALUE!</v>
      </c>
      <c r="N168" t="e">
        <f>TEXT(#REF!,"DDD")</f>
        <v>#REF!</v>
      </c>
      <c r="O168" t="e">
        <f>WEEKNUM(#REF!)</f>
        <v>#REF!</v>
      </c>
      <c r="P168" t="e">
        <f>INDEX({"Q3","Q3","Q4","Q4","Q4","Q1","Q1","Q1","Q2","Q2","Q2","Q3"},MONTH(#REF!))</f>
        <v>#REF!</v>
      </c>
    </row>
    <row r="169" spans="1:16" x14ac:dyDescent="0.25">
      <c r="A169" s="18"/>
      <c r="B169" s="15"/>
      <c r="K169" t="str">
        <f t="shared" si="6"/>
        <v>Jan-00</v>
      </c>
      <c r="L169">
        <f>HOUR(MedicalData[[#This Row],[Time]])</f>
        <v>0</v>
      </c>
      <c r="M169" t="e">
        <f t="shared" si="5"/>
        <v>#VALUE!</v>
      </c>
      <c r="N169" t="e">
        <f>TEXT(#REF!,"DDD")</f>
        <v>#REF!</v>
      </c>
      <c r="O169" t="e">
        <f>WEEKNUM(#REF!)</f>
        <v>#REF!</v>
      </c>
      <c r="P169" t="e">
        <f>INDEX({"Q3","Q3","Q4","Q4","Q4","Q1","Q1","Q1","Q2","Q2","Q2","Q3"},MONTH(#REF!))</f>
        <v>#REF!</v>
      </c>
    </row>
    <row r="170" spans="1:16" x14ac:dyDescent="0.25">
      <c r="A170" s="18"/>
      <c r="B170" s="15"/>
      <c r="K170" t="str">
        <f t="shared" si="6"/>
        <v>Jan-00</v>
      </c>
      <c r="L170">
        <f>HOUR(MedicalData[[#This Row],[Time]])</f>
        <v>0</v>
      </c>
      <c r="M170" t="e">
        <f t="shared" si="5"/>
        <v>#VALUE!</v>
      </c>
      <c r="N170" t="e">
        <f>TEXT(#REF!,"DDD")</f>
        <v>#REF!</v>
      </c>
      <c r="O170" t="e">
        <f>WEEKNUM(#REF!)</f>
        <v>#REF!</v>
      </c>
      <c r="P170" t="e">
        <f>INDEX({"Q3","Q3","Q4","Q4","Q4","Q1","Q1","Q1","Q2","Q2","Q2","Q3"},MONTH(#REF!))</f>
        <v>#REF!</v>
      </c>
    </row>
    <row r="171" spans="1:16" x14ac:dyDescent="0.25">
      <c r="A171" s="18"/>
      <c r="B171" s="15"/>
      <c r="K171" t="str">
        <f t="shared" si="6"/>
        <v>Jan-00</v>
      </c>
      <c r="L171">
        <f>HOUR(MedicalData[[#This Row],[Time]])</f>
        <v>0</v>
      </c>
      <c r="M171" t="e">
        <f t="shared" si="5"/>
        <v>#VALUE!</v>
      </c>
      <c r="N171" t="e">
        <f>TEXT(#REF!,"DDD")</f>
        <v>#REF!</v>
      </c>
      <c r="O171" t="e">
        <f>WEEKNUM(#REF!)</f>
        <v>#REF!</v>
      </c>
      <c r="P171" t="e">
        <f>INDEX({"Q3","Q3","Q4","Q4","Q4","Q1","Q1","Q1","Q2","Q2","Q2","Q3"},MONTH(#REF!))</f>
        <v>#REF!</v>
      </c>
    </row>
    <row r="172" spans="1:16" x14ac:dyDescent="0.25">
      <c r="A172" s="18"/>
      <c r="B172" s="15"/>
      <c r="K172" t="str">
        <f t="shared" si="6"/>
        <v>Jan-00</v>
      </c>
      <c r="L172">
        <f>HOUR(MedicalData[[#This Row],[Time]])</f>
        <v>0</v>
      </c>
      <c r="M172" t="e">
        <f t="shared" si="5"/>
        <v>#VALUE!</v>
      </c>
      <c r="N172" t="e">
        <f>TEXT(#REF!,"DDD")</f>
        <v>#REF!</v>
      </c>
      <c r="O172" t="e">
        <f>WEEKNUM(#REF!)</f>
        <v>#REF!</v>
      </c>
      <c r="P172" t="e">
        <f>INDEX({"Q3","Q3","Q4","Q4","Q4","Q1","Q1","Q1","Q2","Q2","Q2","Q3"},MONTH(#REF!))</f>
        <v>#REF!</v>
      </c>
    </row>
    <row r="173" spans="1:16" x14ac:dyDescent="0.25">
      <c r="A173" s="18"/>
      <c r="B173" s="15"/>
      <c r="K173" t="str">
        <f t="shared" si="6"/>
        <v>Jan-00</v>
      </c>
      <c r="L173">
        <f>HOUR(MedicalData[[#This Row],[Time]])</f>
        <v>0</v>
      </c>
      <c r="M173" t="e">
        <f t="shared" si="5"/>
        <v>#VALUE!</v>
      </c>
      <c r="N173" t="e">
        <f>TEXT(#REF!,"DDD")</f>
        <v>#REF!</v>
      </c>
      <c r="O173" t="e">
        <f>WEEKNUM(#REF!)</f>
        <v>#REF!</v>
      </c>
      <c r="P173" t="e">
        <f>INDEX({"Q3","Q3","Q4","Q4","Q4","Q1","Q1","Q1","Q2","Q2","Q2","Q3"},MONTH(#REF!))</f>
        <v>#REF!</v>
      </c>
    </row>
    <row r="174" spans="1:16" x14ac:dyDescent="0.25">
      <c r="A174" s="18"/>
      <c r="B174" s="15"/>
      <c r="K174" t="str">
        <f t="shared" si="6"/>
        <v>Jan-00</v>
      </c>
      <c r="L174">
        <f>HOUR(MedicalData[[#This Row],[Time]])</f>
        <v>0</v>
      </c>
      <c r="M174" t="e">
        <f t="shared" si="5"/>
        <v>#VALUE!</v>
      </c>
      <c r="N174" t="e">
        <f>TEXT(#REF!,"DDD")</f>
        <v>#REF!</v>
      </c>
      <c r="O174" t="e">
        <f>WEEKNUM(#REF!)</f>
        <v>#REF!</v>
      </c>
      <c r="P174" t="e">
        <f>INDEX({"Q3","Q3","Q4","Q4","Q4","Q1","Q1","Q1","Q2","Q2","Q2","Q3"},MONTH(#REF!))</f>
        <v>#REF!</v>
      </c>
    </row>
    <row r="175" spans="1:16" x14ac:dyDescent="0.25">
      <c r="A175" s="18"/>
      <c r="B175" s="15"/>
      <c r="K175" t="str">
        <f t="shared" si="6"/>
        <v>Jan-00</v>
      </c>
      <c r="L175">
        <f>HOUR(MedicalData[[#This Row],[Time]])</f>
        <v>0</v>
      </c>
      <c r="M175" t="e">
        <f t="shared" si="5"/>
        <v>#VALUE!</v>
      </c>
      <c r="N175" t="e">
        <f>TEXT(#REF!,"DDD")</f>
        <v>#REF!</v>
      </c>
      <c r="O175" t="e">
        <f>WEEKNUM(#REF!)</f>
        <v>#REF!</v>
      </c>
      <c r="P175" t="e">
        <f>INDEX({"Q3","Q3","Q4","Q4","Q4","Q1","Q1","Q1","Q2","Q2","Q2","Q3"},MONTH(#REF!))</f>
        <v>#REF!</v>
      </c>
    </row>
    <row r="176" spans="1:16" x14ac:dyDescent="0.25">
      <c r="A176" s="18"/>
      <c r="B176" s="15"/>
      <c r="K176" t="str">
        <f t="shared" si="6"/>
        <v>Jan-00</v>
      </c>
      <c r="L176">
        <f>HOUR(MedicalData[[#This Row],[Time]])</f>
        <v>0</v>
      </c>
      <c r="M176" t="e">
        <f t="shared" si="5"/>
        <v>#VALUE!</v>
      </c>
      <c r="N176" t="e">
        <f>TEXT(#REF!,"DDD")</f>
        <v>#REF!</v>
      </c>
      <c r="O176" t="e">
        <f>WEEKNUM(#REF!)</f>
        <v>#REF!</v>
      </c>
      <c r="P176" t="e">
        <f>INDEX({"Q3","Q3","Q4","Q4","Q4","Q1","Q1","Q1","Q2","Q2","Q2","Q3"},MONTH(#REF!))</f>
        <v>#REF!</v>
      </c>
    </row>
    <row r="177" spans="1:16" x14ac:dyDescent="0.25">
      <c r="A177" s="18"/>
      <c r="B177" s="15"/>
      <c r="K177" t="str">
        <f t="shared" si="6"/>
        <v>Jan-00</v>
      </c>
      <c r="L177">
        <f>HOUR(MedicalData[[#This Row],[Time]])</f>
        <v>0</v>
      </c>
      <c r="M177" t="e">
        <f t="shared" si="5"/>
        <v>#VALUE!</v>
      </c>
      <c r="N177" t="e">
        <f>TEXT(#REF!,"DDD")</f>
        <v>#REF!</v>
      </c>
      <c r="O177" t="e">
        <f>WEEKNUM(#REF!)</f>
        <v>#REF!</v>
      </c>
      <c r="P177" t="e">
        <f>INDEX({"Q3","Q3","Q4","Q4","Q4","Q1","Q1","Q1","Q2","Q2","Q2","Q3"},MONTH(#REF!))</f>
        <v>#REF!</v>
      </c>
    </row>
    <row r="178" spans="1:16" x14ac:dyDescent="0.25">
      <c r="A178" s="18"/>
      <c r="B178" s="15"/>
      <c r="K178" t="str">
        <f t="shared" si="6"/>
        <v>Jan-00</v>
      </c>
      <c r="L178">
        <f>HOUR(MedicalData[[#This Row],[Time]])</f>
        <v>0</v>
      </c>
      <c r="M178" t="e">
        <f t="shared" si="5"/>
        <v>#VALUE!</v>
      </c>
      <c r="N178" t="e">
        <f>TEXT(#REF!,"DDD")</f>
        <v>#REF!</v>
      </c>
      <c r="O178" t="e">
        <f>WEEKNUM(#REF!)</f>
        <v>#REF!</v>
      </c>
      <c r="P178" t="e">
        <f>INDEX({"Q3","Q3","Q4","Q4","Q4","Q1","Q1","Q1","Q2","Q2","Q2","Q3"},MONTH(#REF!))</f>
        <v>#REF!</v>
      </c>
    </row>
    <row r="179" spans="1:16" x14ac:dyDescent="0.25">
      <c r="A179" s="18"/>
      <c r="B179" s="15"/>
      <c r="K179" t="str">
        <f t="shared" si="6"/>
        <v>Jan-00</v>
      </c>
      <c r="L179">
        <f>HOUR(MedicalData[[#This Row],[Time]])</f>
        <v>0</v>
      </c>
      <c r="M179" t="e">
        <f t="shared" si="5"/>
        <v>#VALUE!</v>
      </c>
      <c r="N179" t="e">
        <f>TEXT(#REF!,"DDD")</f>
        <v>#REF!</v>
      </c>
      <c r="O179" t="e">
        <f>WEEKNUM(#REF!)</f>
        <v>#REF!</v>
      </c>
      <c r="P179" t="e">
        <f>INDEX({"Q3","Q3","Q4","Q4","Q4","Q1","Q1","Q1","Q2","Q2","Q2","Q3"},MONTH(#REF!))</f>
        <v>#REF!</v>
      </c>
    </row>
    <row r="180" spans="1:16" x14ac:dyDescent="0.25">
      <c r="A180" s="18"/>
      <c r="B180" s="15"/>
      <c r="K180" t="str">
        <f t="shared" si="6"/>
        <v>Jan-00</v>
      </c>
      <c r="L180">
        <f>HOUR(MedicalData[[#This Row],[Time]])</f>
        <v>0</v>
      </c>
      <c r="M180" t="e">
        <f t="shared" si="5"/>
        <v>#VALUE!</v>
      </c>
      <c r="N180" t="e">
        <f>TEXT(#REF!,"DDD")</f>
        <v>#REF!</v>
      </c>
      <c r="O180" t="e">
        <f>WEEKNUM(#REF!)</f>
        <v>#REF!</v>
      </c>
      <c r="P180" t="e">
        <f>INDEX({"Q3","Q3","Q4","Q4","Q4","Q1","Q1","Q1","Q2","Q2","Q2","Q3"},MONTH(#REF!))</f>
        <v>#REF!</v>
      </c>
    </row>
    <row r="181" spans="1:16" x14ac:dyDescent="0.25">
      <c r="A181" s="18"/>
      <c r="B181" s="15"/>
      <c r="K181" t="str">
        <f t="shared" si="6"/>
        <v>Jan-00</v>
      </c>
      <c r="L181">
        <f>HOUR(MedicalData[[#This Row],[Time]])</f>
        <v>0</v>
      </c>
      <c r="M181" t="e">
        <f t="shared" si="5"/>
        <v>#VALUE!</v>
      </c>
      <c r="N181" t="e">
        <f>TEXT(#REF!,"DDD")</f>
        <v>#REF!</v>
      </c>
      <c r="O181" t="e">
        <f>WEEKNUM(#REF!)</f>
        <v>#REF!</v>
      </c>
      <c r="P181" t="e">
        <f>INDEX({"Q3","Q3","Q4","Q4","Q4","Q1","Q1","Q1","Q2","Q2","Q2","Q3"},MONTH(#REF!))</f>
        <v>#REF!</v>
      </c>
    </row>
    <row r="182" spans="1:16" x14ac:dyDescent="0.25">
      <c r="A182" s="18"/>
      <c r="B182" s="15"/>
      <c r="K182" t="str">
        <f t="shared" si="6"/>
        <v>Jan-00</v>
      </c>
      <c r="L182">
        <f>HOUR(MedicalData[[#This Row],[Time]])</f>
        <v>0</v>
      </c>
      <c r="M182" t="e">
        <f t="shared" si="5"/>
        <v>#VALUE!</v>
      </c>
      <c r="N182" t="e">
        <f>TEXT(#REF!,"DDD")</f>
        <v>#REF!</v>
      </c>
      <c r="O182" t="e">
        <f>WEEKNUM(#REF!)</f>
        <v>#REF!</v>
      </c>
      <c r="P182" t="e">
        <f>INDEX({"Q3","Q3","Q4","Q4","Q4","Q1","Q1","Q1","Q2","Q2","Q2","Q3"},MONTH(#REF!))</f>
        <v>#REF!</v>
      </c>
    </row>
    <row r="183" spans="1:16" x14ac:dyDescent="0.25">
      <c r="A183" s="18"/>
      <c r="B183" s="15"/>
      <c r="K183" t="str">
        <f t="shared" si="6"/>
        <v>Jan-00</v>
      </c>
      <c r="L183">
        <f>HOUR(MedicalData[[#This Row],[Time]])</f>
        <v>0</v>
      </c>
      <c r="M183" t="e">
        <f t="shared" si="5"/>
        <v>#VALUE!</v>
      </c>
      <c r="N183" t="e">
        <f>TEXT(#REF!,"DDD")</f>
        <v>#REF!</v>
      </c>
      <c r="O183" t="e">
        <f>WEEKNUM(#REF!)</f>
        <v>#REF!</v>
      </c>
      <c r="P183" t="e">
        <f>INDEX({"Q3","Q3","Q4","Q4","Q4","Q1","Q1","Q1","Q2","Q2","Q2","Q3"},MONTH(#REF!))</f>
        <v>#REF!</v>
      </c>
    </row>
    <row r="184" spans="1:16" x14ac:dyDescent="0.25">
      <c r="A184" s="18"/>
      <c r="B184" s="15"/>
      <c r="K184" t="str">
        <f t="shared" si="6"/>
        <v>Jan-00</v>
      </c>
      <c r="L184">
        <f>HOUR(MedicalData[[#This Row],[Time]])</f>
        <v>0</v>
      </c>
      <c r="M184" t="e">
        <f t="shared" si="5"/>
        <v>#VALUE!</v>
      </c>
      <c r="N184" t="e">
        <f>TEXT(#REF!,"DDD")</f>
        <v>#REF!</v>
      </c>
      <c r="O184" t="e">
        <f>WEEKNUM(#REF!)</f>
        <v>#REF!</v>
      </c>
      <c r="P184" t="e">
        <f>INDEX({"Q3","Q3","Q4","Q4","Q4","Q1","Q1","Q1","Q2","Q2","Q2","Q3"},MONTH(#REF!))</f>
        <v>#REF!</v>
      </c>
    </row>
    <row r="185" spans="1:16" x14ac:dyDescent="0.25">
      <c r="A185" s="18"/>
      <c r="B185" s="15"/>
      <c r="K185" t="str">
        <f t="shared" si="6"/>
        <v>Jan-00</v>
      </c>
      <c r="L185">
        <f>HOUR(MedicalData[[#This Row],[Time]])</f>
        <v>0</v>
      </c>
      <c r="M185" t="e">
        <f t="shared" si="5"/>
        <v>#VALUE!</v>
      </c>
      <c r="N185" t="e">
        <f>TEXT(#REF!,"DDD")</f>
        <v>#REF!</v>
      </c>
      <c r="O185" t="e">
        <f>WEEKNUM(#REF!)</f>
        <v>#REF!</v>
      </c>
      <c r="P185" t="e">
        <f>INDEX({"Q3","Q3","Q4","Q4","Q4","Q1","Q1","Q1","Q2","Q2","Q2","Q3"},MONTH(#REF!))</f>
        <v>#REF!</v>
      </c>
    </row>
    <row r="186" spans="1:16" x14ac:dyDescent="0.25">
      <c r="A186" s="18"/>
      <c r="B186" s="15"/>
      <c r="K186" t="str">
        <f t="shared" si="6"/>
        <v>Jan-00</v>
      </c>
      <c r="L186">
        <f>HOUR(MedicalData[[#This Row],[Time]])</f>
        <v>0</v>
      </c>
      <c r="M186" t="e">
        <f t="shared" si="5"/>
        <v>#VALUE!</v>
      </c>
      <c r="N186" t="e">
        <f>TEXT(#REF!,"DDD")</f>
        <v>#REF!</v>
      </c>
      <c r="O186" t="e">
        <f>WEEKNUM(#REF!)</f>
        <v>#REF!</v>
      </c>
      <c r="P186" t="e">
        <f>INDEX({"Q3","Q3","Q4","Q4","Q4","Q1","Q1","Q1","Q2","Q2","Q2","Q3"},MONTH(#REF!))</f>
        <v>#REF!</v>
      </c>
    </row>
    <row r="187" spans="1:16" x14ac:dyDescent="0.25">
      <c r="A187" s="18"/>
      <c r="B187" s="15"/>
      <c r="K187" t="str">
        <f t="shared" si="6"/>
        <v>Jan-00</v>
      </c>
      <c r="L187">
        <f>HOUR(MedicalData[[#This Row],[Time]])</f>
        <v>0</v>
      </c>
      <c r="M187" t="e">
        <f t="shared" si="5"/>
        <v>#VALUE!</v>
      </c>
      <c r="N187" t="e">
        <f>TEXT(#REF!,"DDD")</f>
        <v>#REF!</v>
      </c>
      <c r="O187" t="e">
        <f>WEEKNUM(#REF!)</f>
        <v>#REF!</v>
      </c>
      <c r="P187" t="e">
        <f>INDEX({"Q3","Q3","Q4","Q4","Q4","Q1","Q1","Q1","Q2","Q2","Q2","Q3"},MONTH(#REF!))</f>
        <v>#REF!</v>
      </c>
    </row>
    <row r="188" spans="1:16" x14ac:dyDescent="0.25">
      <c r="A188" s="18"/>
      <c r="B188" s="15"/>
      <c r="K188" t="str">
        <f t="shared" si="6"/>
        <v>Jan-00</v>
      </c>
      <c r="L188">
        <f>HOUR(MedicalData[[#This Row],[Time]])</f>
        <v>0</v>
      </c>
      <c r="M188" t="e">
        <f t="shared" si="5"/>
        <v>#VALUE!</v>
      </c>
      <c r="N188" t="e">
        <f>TEXT(#REF!,"DDD")</f>
        <v>#REF!</v>
      </c>
      <c r="O188" t="e">
        <f>WEEKNUM(#REF!)</f>
        <v>#REF!</v>
      </c>
      <c r="P188" t="e">
        <f>INDEX({"Q3","Q3","Q4","Q4","Q4","Q1","Q1","Q1","Q2","Q2","Q2","Q3"},MONTH(#REF!))</f>
        <v>#REF!</v>
      </c>
    </row>
    <row r="189" spans="1:16" x14ac:dyDescent="0.25">
      <c r="A189" s="18"/>
      <c r="B189" s="15"/>
      <c r="K189" t="str">
        <f t="shared" si="6"/>
        <v>Jan-00</v>
      </c>
      <c r="L189">
        <f>HOUR(MedicalData[[#This Row],[Time]])</f>
        <v>0</v>
      </c>
      <c r="M189" t="e">
        <f t="shared" si="5"/>
        <v>#VALUE!</v>
      </c>
      <c r="N189" t="e">
        <f>TEXT(#REF!,"DDD")</f>
        <v>#REF!</v>
      </c>
      <c r="O189" t="e">
        <f>WEEKNUM(#REF!)</f>
        <v>#REF!</v>
      </c>
      <c r="P189" t="e">
        <f>INDEX({"Q3","Q3","Q4","Q4","Q4","Q1","Q1","Q1","Q2","Q2","Q2","Q3"},MONTH(#REF!))</f>
        <v>#REF!</v>
      </c>
    </row>
    <row r="190" spans="1:16" x14ac:dyDescent="0.25">
      <c r="A190" s="18"/>
      <c r="B190" s="15"/>
      <c r="K190" t="str">
        <f t="shared" si="6"/>
        <v>Jan-00</v>
      </c>
      <c r="L190">
        <f>HOUR(MedicalData[[#This Row],[Time]])</f>
        <v>0</v>
      </c>
      <c r="M190" t="e">
        <f t="shared" si="5"/>
        <v>#VALUE!</v>
      </c>
      <c r="N190" t="e">
        <f>TEXT(#REF!,"DDD")</f>
        <v>#REF!</v>
      </c>
      <c r="O190" t="e">
        <f>WEEKNUM(#REF!)</f>
        <v>#REF!</v>
      </c>
      <c r="P190" t="e">
        <f>INDEX({"Q3","Q3","Q4","Q4","Q4","Q1","Q1","Q1","Q2","Q2","Q2","Q3"},MONTH(#REF!))</f>
        <v>#REF!</v>
      </c>
    </row>
    <row r="191" spans="1:16" x14ac:dyDescent="0.25">
      <c r="A191" s="18"/>
      <c r="B191" s="15"/>
      <c r="K191" t="str">
        <f t="shared" si="6"/>
        <v>Jan-00</v>
      </c>
      <c r="L191">
        <f>HOUR(MedicalData[[#This Row],[Time]])</f>
        <v>0</v>
      </c>
      <c r="M191" t="e">
        <f t="shared" si="5"/>
        <v>#VALUE!</v>
      </c>
      <c r="N191" t="e">
        <f>TEXT(#REF!,"DDD")</f>
        <v>#REF!</v>
      </c>
      <c r="O191" t="e">
        <f>WEEKNUM(#REF!)</f>
        <v>#REF!</v>
      </c>
      <c r="P191" t="e">
        <f>INDEX({"Q3","Q3","Q4","Q4","Q4","Q1","Q1","Q1","Q2","Q2","Q2","Q3"},MONTH(#REF!))</f>
        <v>#REF!</v>
      </c>
    </row>
    <row r="192" spans="1:16" x14ac:dyDescent="0.25">
      <c r="A192" s="18"/>
      <c r="B192" s="15"/>
      <c r="K192" t="str">
        <f t="shared" si="6"/>
        <v>Jan-00</v>
      </c>
      <c r="L192">
        <f>HOUR(MedicalData[[#This Row],[Time]])</f>
        <v>0</v>
      </c>
      <c r="M192" t="e">
        <f t="shared" si="5"/>
        <v>#VALUE!</v>
      </c>
      <c r="N192" t="e">
        <f>TEXT(#REF!,"DDD")</f>
        <v>#REF!</v>
      </c>
      <c r="O192" t="e">
        <f>WEEKNUM(#REF!)</f>
        <v>#REF!</v>
      </c>
      <c r="P192" t="e">
        <f>INDEX({"Q3","Q3","Q4","Q4","Q4","Q1","Q1","Q1","Q2","Q2","Q2","Q3"},MONTH(#REF!))</f>
        <v>#REF!</v>
      </c>
    </row>
    <row r="193" spans="1:16" x14ac:dyDescent="0.25">
      <c r="A193" s="18"/>
      <c r="B193" s="15"/>
      <c r="K193" t="str">
        <f t="shared" si="6"/>
        <v>Jan-00</v>
      </c>
      <c r="L193">
        <f>HOUR(MedicalData[[#This Row],[Time]])</f>
        <v>0</v>
      </c>
      <c r="M193" t="e">
        <f t="shared" si="5"/>
        <v>#VALUE!</v>
      </c>
      <c r="N193" t="e">
        <f>TEXT(#REF!,"DDD")</f>
        <v>#REF!</v>
      </c>
      <c r="O193" t="e">
        <f>WEEKNUM(#REF!)</f>
        <v>#REF!</v>
      </c>
      <c r="P193" t="e">
        <f>INDEX({"Q3","Q3","Q4","Q4","Q4","Q1","Q1","Q1","Q2","Q2","Q2","Q3"},MONTH(#REF!))</f>
        <v>#REF!</v>
      </c>
    </row>
    <row r="194" spans="1:16" x14ac:dyDescent="0.25">
      <c r="A194" s="18"/>
      <c r="B194" s="15"/>
      <c r="K194" t="str">
        <f t="shared" si="6"/>
        <v>Jan-00</v>
      </c>
      <c r="L194">
        <f>HOUR(MedicalData[[#This Row],[Time]])</f>
        <v>0</v>
      </c>
      <c r="M194" t="e">
        <f t="shared" si="5"/>
        <v>#VALUE!</v>
      </c>
      <c r="N194" t="e">
        <f>TEXT(#REF!,"DDD")</f>
        <v>#REF!</v>
      </c>
      <c r="O194" t="e">
        <f>WEEKNUM(#REF!)</f>
        <v>#REF!</v>
      </c>
      <c r="P194" t="e">
        <f>INDEX({"Q3","Q3","Q4","Q4","Q4","Q1","Q1","Q1","Q2","Q2","Q2","Q3"},MONTH(#REF!))</f>
        <v>#REF!</v>
      </c>
    </row>
    <row r="195" spans="1:16" x14ac:dyDescent="0.25">
      <c r="A195" s="18"/>
      <c r="B195" s="15"/>
      <c r="K195" t="str">
        <f t="shared" si="6"/>
        <v>Jan-00</v>
      </c>
      <c r="L195">
        <f>HOUR(MedicalData[[#This Row],[Time]])</f>
        <v>0</v>
      </c>
      <c r="M195" t="e">
        <f t="shared" ref="M195:M258" si="7" xml:space="preserve">  IF(_xleta.HOUR&lt;6,"Night",IF(_xleta.HOUR&lt;12,"Morning",IF(_xleta.HOUR&lt;18,"Afternoon","Evening")))</f>
        <v>#VALUE!</v>
      </c>
      <c r="N195" t="e">
        <f>TEXT(#REF!,"DDD")</f>
        <v>#REF!</v>
      </c>
      <c r="O195" t="e">
        <f>WEEKNUM(#REF!)</f>
        <v>#REF!</v>
      </c>
      <c r="P195" t="e">
        <f>INDEX({"Q3","Q3","Q4","Q4","Q4","Q1","Q1","Q1","Q2","Q2","Q2","Q3"},MONTH(#REF!))</f>
        <v>#REF!</v>
      </c>
    </row>
    <row r="196" spans="1:16" x14ac:dyDescent="0.25">
      <c r="A196" s="18"/>
      <c r="B196" s="15"/>
      <c r="K196" t="str">
        <f t="shared" si="6"/>
        <v>Jan-00</v>
      </c>
      <c r="L196">
        <f>HOUR(MedicalData[[#This Row],[Time]])</f>
        <v>0</v>
      </c>
      <c r="M196" t="e">
        <f t="shared" si="7"/>
        <v>#VALUE!</v>
      </c>
      <c r="N196" t="e">
        <f>TEXT(#REF!,"DDD")</f>
        <v>#REF!</v>
      </c>
      <c r="O196" t="e">
        <f>WEEKNUM(#REF!)</f>
        <v>#REF!</v>
      </c>
      <c r="P196" t="e">
        <f>INDEX({"Q3","Q3","Q4","Q4","Q4","Q1","Q1","Q1","Q2","Q2","Q2","Q3"},MONTH(#REF!))</f>
        <v>#REF!</v>
      </c>
    </row>
    <row r="197" spans="1:16" x14ac:dyDescent="0.25">
      <c r="A197" s="18"/>
      <c r="B197" s="15"/>
      <c r="K197" t="str">
        <f t="shared" ref="K197:K260" si="8">TEXT(A197,"MMM-YY")</f>
        <v>Jan-00</v>
      </c>
      <c r="L197">
        <f>HOUR(MedicalData[[#This Row],[Time]])</f>
        <v>0</v>
      </c>
      <c r="M197" t="e">
        <f t="shared" si="7"/>
        <v>#VALUE!</v>
      </c>
      <c r="N197" t="e">
        <f>TEXT(#REF!,"DDD")</f>
        <v>#REF!</v>
      </c>
      <c r="O197" t="e">
        <f>WEEKNUM(#REF!)</f>
        <v>#REF!</v>
      </c>
      <c r="P197" t="e">
        <f>INDEX({"Q3","Q3","Q4","Q4","Q4","Q1","Q1","Q1","Q2","Q2","Q2","Q3"},MONTH(#REF!))</f>
        <v>#REF!</v>
      </c>
    </row>
    <row r="198" spans="1:16" x14ac:dyDescent="0.25">
      <c r="A198" s="18"/>
      <c r="B198" s="15"/>
      <c r="K198" t="str">
        <f t="shared" si="8"/>
        <v>Jan-00</v>
      </c>
      <c r="L198">
        <f>HOUR(MedicalData[[#This Row],[Time]])</f>
        <v>0</v>
      </c>
      <c r="M198" t="e">
        <f t="shared" si="7"/>
        <v>#VALUE!</v>
      </c>
      <c r="N198" t="e">
        <f>TEXT(#REF!,"DDD")</f>
        <v>#REF!</v>
      </c>
      <c r="O198" t="e">
        <f>WEEKNUM(#REF!)</f>
        <v>#REF!</v>
      </c>
      <c r="P198" t="e">
        <f>INDEX({"Q3","Q3","Q4","Q4","Q4","Q1","Q1","Q1","Q2","Q2","Q2","Q3"},MONTH(#REF!))</f>
        <v>#REF!</v>
      </c>
    </row>
    <row r="199" spans="1:16" x14ac:dyDescent="0.25">
      <c r="A199" s="18"/>
      <c r="B199" s="15"/>
      <c r="K199" t="str">
        <f t="shared" si="8"/>
        <v>Jan-00</v>
      </c>
      <c r="L199">
        <f>HOUR(MedicalData[[#This Row],[Time]])</f>
        <v>0</v>
      </c>
      <c r="M199" t="e">
        <f t="shared" si="7"/>
        <v>#VALUE!</v>
      </c>
      <c r="N199" t="e">
        <f>TEXT(#REF!,"DDD")</f>
        <v>#REF!</v>
      </c>
      <c r="O199" t="e">
        <f>WEEKNUM(#REF!)</f>
        <v>#REF!</v>
      </c>
      <c r="P199" t="e">
        <f>INDEX({"Q3","Q3","Q4","Q4","Q4","Q1","Q1","Q1","Q2","Q2","Q2","Q3"},MONTH(#REF!))</f>
        <v>#REF!</v>
      </c>
    </row>
    <row r="200" spans="1:16" x14ac:dyDescent="0.25">
      <c r="A200" s="18"/>
      <c r="B200" s="15"/>
      <c r="K200" t="str">
        <f t="shared" si="8"/>
        <v>Jan-00</v>
      </c>
      <c r="L200">
        <f>HOUR(MedicalData[[#This Row],[Time]])</f>
        <v>0</v>
      </c>
      <c r="M200" t="e">
        <f t="shared" si="7"/>
        <v>#VALUE!</v>
      </c>
      <c r="N200" t="e">
        <f>TEXT(#REF!,"DDD")</f>
        <v>#REF!</v>
      </c>
      <c r="O200" t="e">
        <f>WEEKNUM(#REF!)</f>
        <v>#REF!</v>
      </c>
      <c r="P200" t="e">
        <f>INDEX({"Q3","Q3","Q4","Q4","Q4","Q1","Q1","Q1","Q2","Q2","Q2","Q3"},MONTH(#REF!))</f>
        <v>#REF!</v>
      </c>
    </row>
    <row r="201" spans="1:16" x14ac:dyDescent="0.25">
      <c r="A201" s="18"/>
      <c r="B201" s="15"/>
      <c r="K201" t="str">
        <f t="shared" si="8"/>
        <v>Jan-00</v>
      </c>
      <c r="L201">
        <f>HOUR(MedicalData[[#This Row],[Time]])</f>
        <v>0</v>
      </c>
      <c r="M201" t="e">
        <f t="shared" si="7"/>
        <v>#VALUE!</v>
      </c>
      <c r="N201" t="e">
        <f>TEXT(#REF!,"DDD")</f>
        <v>#REF!</v>
      </c>
      <c r="O201" t="e">
        <f>WEEKNUM(#REF!)</f>
        <v>#REF!</v>
      </c>
      <c r="P201" t="e">
        <f>INDEX({"Q3","Q3","Q4","Q4","Q4","Q1","Q1","Q1","Q2","Q2","Q2","Q3"},MONTH(#REF!))</f>
        <v>#REF!</v>
      </c>
    </row>
    <row r="202" spans="1:16" x14ac:dyDescent="0.25">
      <c r="A202" s="18"/>
      <c r="B202" s="15"/>
      <c r="K202" t="str">
        <f t="shared" si="8"/>
        <v>Jan-00</v>
      </c>
      <c r="L202">
        <f>HOUR(MedicalData[[#This Row],[Time]])</f>
        <v>0</v>
      </c>
      <c r="M202" t="e">
        <f t="shared" si="7"/>
        <v>#VALUE!</v>
      </c>
      <c r="N202" t="e">
        <f>TEXT(#REF!,"DDD")</f>
        <v>#REF!</v>
      </c>
      <c r="O202" t="e">
        <f>WEEKNUM(#REF!)</f>
        <v>#REF!</v>
      </c>
      <c r="P202" t="e">
        <f>INDEX({"Q3","Q3","Q4","Q4","Q4","Q1","Q1","Q1","Q2","Q2","Q2","Q3"},MONTH(#REF!))</f>
        <v>#REF!</v>
      </c>
    </row>
    <row r="203" spans="1:16" x14ac:dyDescent="0.25">
      <c r="A203" s="18"/>
      <c r="B203" s="15"/>
      <c r="K203" t="str">
        <f t="shared" si="8"/>
        <v>Jan-00</v>
      </c>
      <c r="L203">
        <f>HOUR(MedicalData[[#This Row],[Time]])</f>
        <v>0</v>
      </c>
      <c r="M203" t="e">
        <f t="shared" si="7"/>
        <v>#VALUE!</v>
      </c>
      <c r="N203" t="e">
        <f>TEXT(#REF!,"DDD")</f>
        <v>#REF!</v>
      </c>
      <c r="O203" t="e">
        <f>WEEKNUM(#REF!)</f>
        <v>#REF!</v>
      </c>
      <c r="P203" t="e">
        <f>INDEX({"Q3","Q3","Q4","Q4","Q4","Q1","Q1","Q1","Q2","Q2","Q2","Q3"},MONTH(#REF!))</f>
        <v>#REF!</v>
      </c>
    </row>
    <row r="204" spans="1:16" x14ac:dyDescent="0.25">
      <c r="A204" s="18"/>
      <c r="B204" s="15"/>
      <c r="K204" t="str">
        <f t="shared" si="8"/>
        <v>Jan-00</v>
      </c>
      <c r="L204">
        <f>HOUR(MedicalData[[#This Row],[Time]])</f>
        <v>0</v>
      </c>
      <c r="M204" t="e">
        <f t="shared" si="7"/>
        <v>#VALUE!</v>
      </c>
      <c r="N204" t="e">
        <f>TEXT(#REF!,"DDD")</f>
        <v>#REF!</v>
      </c>
      <c r="O204" t="e">
        <f>WEEKNUM(#REF!)</f>
        <v>#REF!</v>
      </c>
      <c r="P204" t="e">
        <f>INDEX({"Q3","Q3","Q4","Q4","Q4","Q1","Q1","Q1","Q2","Q2","Q2","Q3"},MONTH(#REF!))</f>
        <v>#REF!</v>
      </c>
    </row>
    <row r="205" spans="1:16" x14ac:dyDescent="0.25">
      <c r="A205" s="18"/>
      <c r="B205" s="15"/>
      <c r="K205" t="str">
        <f t="shared" si="8"/>
        <v>Jan-00</v>
      </c>
      <c r="L205">
        <f>HOUR(MedicalData[[#This Row],[Time]])</f>
        <v>0</v>
      </c>
      <c r="M205" t="e">
        <f t="shared" si="7"/>
        <v>#VALUE!</v>
      </c>
      <c r="N205" t="e">
        <f>TEXT(#REF!,"DDD")</f>
        <v>#REF!</v>
      </c>
      <c r="O205" t="e">
        <f>WEEKNUM(#REF!)</f>
        <v>#REF!</v>
      </c>
      <c r="P205" t="e">
        <f>INDEX({"Q3","Q3","Q4","Q4","Q4","Q1","Q1","Q1","Q2","Q2","Q2","Q3"},MONTH(#REF!))</f>
        <v>#REF!</v>
      </c>
    </row>
    <row r="206" spans="1:16" x14ac:dyDescent="0.25">
      <c r="A206" s="18"/>
      <c r="B206" s="15"/>
      <c r="K206" t="str">
        <f t="shared" si="8"/>
        <v>Jan-00</v>
      </c>
      <c r="L206">
        <f>HOUR(MedicalData[[#This Row],[Time]])</f>
        <v>0</v>
      </c>
      <c r="M206" t="e">
        <f t="shared" si="7"/>
        <v>#VALUE!</v>
      </c>
      <c r="N206" t="e">
        <f>TEXT(#REF!,"DDD")</f>
        <v>#REF!</v>
      </c>
      <c r="O206" t="e">
        <f>WEEKNUM(#REF!)</f>
        <v>#REF!</v>
      </c>
      <c r="P206" t="e">
        <f>INDEX({"Q3","Q3","Q4","Q4","Q4","Q1","Q1","Q1","Q2","Q2","Q2","Q3"},MONTH(#REF!))</f>
        <v>#REF!</v>
      </c>
    </row>
    <row r="207" spans="1:16" x14ac:dyDescent="0.25">
      <c r="A207" s="18"/>
      <c r="B207" s="15"/>
      <c r="K207" t="str">
        <f t="shared" si="8"/>
        <v>Jan-00</v>
      </c>
      <c r="L207">
        <f>HOUR(MedicalData[[#This Row],[Time]])</f>
        <v>0</v>
      </c>
      <c r="M207" t="e">
        <f t="shared" si="7"/>
        <v>#VALUE!</v>
      </c>
      <c r="N207" t="e">
        <f>TEXT(#REF!,"DDD")</f>
        <v>#REF!</v>
      </c>
      <c r="O207" t="e">
        <f>WEEKNUM(#REF!)</f>
        <v>#REF!</v>
      </c>
      <c r="P207" t="e">
        <f>INDEX({"Q3","Q3","Q4","Q4","Q4","Q1","Q1","Q1","Q2","Q2","Q2","Q3"},MONTH(#REF!))</f>
        <v>#REF!</v>
      </c>
    </row>
    <row r="208" spans="1:16" x14ac:dyDescent="0.25">
      <c r="A208" s="18"/>
      <c r="B208" s="15"/>
      <c r="K208" t="str">
        <f t="shared" si="8"/>
        <v>Jan-00</v>
      </c>
      <c r="L208">
        <f>HOUR(MedicalData[[#This Row],[Time]])</f>
        <v>0</v>
      </c>
      <c r="M208" t="e">
        <f t="shared" si="7"/>
        <v>#VALUE!</v>
      </c>
      <c r="N208" t="e">
        <f>TEXT(#REF!,"DDD")</f>
        <v>#REF!</v>
      </c>
      <c r="O208" t="e">
        <f>WEEKNUM(#REF!)</f>
        <v>#REF!</v>
      </c>
      <c r="P208" t="e">
        <f>INDEX({"Q3","Q3","Q4","Q4","Q4","Q1","Q1","Q1","Q2","Q2","Q2","Q3"},MONTH(#REF!))</f>
        <v>#REF!</v>
      </c>
    </row>
    <row r="209" spans="1:16" x14ac:dyDescent="0.25">
      <c r="A209" s="18"/>
      <c r="B209" s="15"/>
      <c r="K209" t="str">
        <f t="shared" si="8"/>
        <v>Jan-00</v>
      </c>
      <c r="L209">
        <f>HOUR(MedicalData[[#This Row],[Time]])</f>
        <v>0</v>
      </c>
      <c r="M209" t="e">
        <f t="shared" si="7"/>
        <v>#VALUE!</v>
      </c>
      <c r="N209" t="e">
        <f>TEXT(#REF!,"DDD")</f>
        <v>#REF!</v>
      </c>
      <c r="O209" t="e">
        <f>WEEKNUM(#REF!)</f>
        <v>#REF!</v>
      </c>
      <c r="P209" t="e">
        <f>INDEX({"Q3","Q3","Q4","Q4","Q4","Q1","Q1","Q1","Q2","Q2","Q2","Q3"},MONTH(#REF!))</f>
        <v>#REF!</v>
      </c>
    </row>
    <row r="210" spans="1:16" x14ac:dyDescent="0.25">
      <c r="A210" s="18"/>
      <c r="B210" s="15"/>
      <c r="K210" t="str">
        <f t="shared" si="8"/>
        <v>Jan-00</v>
      </c>
      <c r="L210">
        <f>HOUR(MedicalData[[#This Row],[Time]])</f>
        <v>0</v>
      </c>
      <c r="M210" t="e">
        <f t="shared" si="7"/>
        <v>#VALUE!</v>
      </c>
      <c r="N210" t="e">
        <f>TEXT(#REF!,"DDD")</f>
        <v>#REF!</v>
      </c>
      <c r="O210" t="e">
        <f>WEEKNUM(#REF!)</f>
        <v>#REF!</v>
      </c>
      <c r="P210" t="e">
        <f>INDEX({"Q3","Q3","Q4","Q4","Q4","Q1","Q1","Q1","Q2","Q2","Q2","Q3"},MONTH(#REF!))</f>
        <v>#REF!</v>
      </c>
    </row>
    <row r="211" spans="1:16" x14ac:dyDescent="0.25">
      <c r="A211" s="18"/>
      <c r="B211" s="15"/>
      <c r="K211" t="str">
        <f t="shared" si="8"/>
        <v>Jan-00</v>
      </c>
      <c r="L211">
        <f>HOUR(MedicalData[[#This Row],[Time]])</f>
        <v>0</v>
      </c>
      <c r="M211" t="e">
        <f t="shared" si="7"/>
        <v>#VALUE!</v>
      </c>
      <c r="N211" t="e">
        <f>TEXT(#REF!,"DDD")</f>
        <v>#REF!</v>
      </c>
      <c r="O211" t="e">
        <f>WEEKNUM(#REF!)</f>
        <v>#REF!</v>
      </c>
      <c r="P211" t="e">
        <f>INDEX({"Q3","Q3","Q4","Q4","Q4","Q1","Q1","Q1","Q2","Q2","Q2","Q3"},MONTH(#REF!))</f>
        <v>#REF!</v>
      </c>
    </row>
    <row r="212" spans="1:16" x14ac:dyDescent="0.25">
      <c r="A212" s="18"/>
      <c r="B212" s="15"/>
      <c r="K212" t="str">
        <f t="shared" si="8"/>
        <v>Jan-00</v>
      </c>
      <c r="L212">
        <f>HOUR(MedicalData[[#This Row],[Time]])</f>
        <v>0</v>
      </c>
      <c r="M212" t="e">
        <f t="shared" si="7"/>
        <v>#VALUE!</v>
      </c>
      <c r="N212" t="e">
        <f>TEXT(#REF!,"DDD")</f>
        <v>#REF!</v>
      </c>
      <c r="O212" t="e">
        <f>WEEKNUM(#REF!)</f>
        <v>#REF!</v>
      </c>
      <c r="P212" t="e">
        <f>INDEX({"Q3","Q3","Q4","Q4","Q4","Q1","Q1","Q1","Q2","Q2","Q2","Q3"},MONTH(#REF!))</f>
        <v>#REF!</v>
      </c>
    </row>
    <row r="213" spans="1:16" x14ac:dyDescent="0.25">
      <c r="A213" s="18"/>
      <c r="B213" s="15"/>
      <c r="K213" t="str">
        <f t="shared" si="8"/>
        <v>Jan-00</v>
      </c>
      <c r="L213">
        <f>HOUR(MedicalData[[#This Row],[Time]])</f>
        <v>0</v>
      </c>
      <c r="M213" t="e">
        <f t="shared" si="7"/>
        <v>#VALUE!</v>
      </c>
      <c r="N213" t="e">
        <f>TEXT(#REF!,"DDD")</f>
        <v>#REF!</v>
      </c>
      <c r="O213" t="e">
        <f>WEEKNUM(#REF!)</f>
        <v>#REF!</v>
      </c>
      <c r="P213" t="e">
        <f>INDEX({"Q3","Q3","Q4","Q4","Q4","Q1","Q1","Q1","Q2","Q2","Q2","Q3"},MONTH(#REF!))</f>
        <v>#REF!</v>
      </c>
    </row>
    <row r="214" spans="1:16" x14ac:dyDescent="0.25">
      <c r="A214" s="18"/>
      <c r="B214" s="15"/>
      <c r="K214" t="str">
        <f t="shared" si="8"/>
        <v>Jan-00</v>
      </c>
      <c r="L214">
        <f>HOUR(MedicalData[[#This Row],[Time]])</f>
        <v>0</v>
      </c>
      <c r="M214" t="e">
        <f t="shared" si="7"/>
        <v>#VALUE!</v>
      </c>
      <c r="N214" t="e">
        <f>TEXT(#REF!,"DDD")</f>
        <v>#REF!</v>
      </c>
      <c r="O214" t="e">
        <f>WEEKNUM(#REF!)</f>
        <v>#REF!</v>
      </c>
      <c r="P214" t="e">
        <f>INDEX({"Q3","Q3","Q4","Q4","Q4","Q1","Q1","Q1","Q2","Q2","Q2","Q3"},MONTH(#REF!))</f>
        <v>#REF!</v>
      </c>
    </row>
    <row r="215" spans="1:16" x14ac:dyDescent="0.25">
      <c r="A215" s="18"/>
      <c r="B215" s="15"/>
      <c r="K215" t="str">
        <f t="shared" si="8"/>
        <v>Jan-00</v>
      </c>
      <c r="L215">
        <f>HOUR(MedicalData[[#This Row],[Time]])</f>
        <v>0</v>
      </c>
      <c r="M215" t="e">
        <f t="shared" si="7"/>
        <v>#VALUE!</v>
      </c>
      <c r="N215" t="e">
        <f>TEXT(#REF!,"DDD")</f>
        <v>#REF!</v>
      </c>
      <c r="O215" t="e">
        <f>WEEKNUM(#REF!)</f>
        <v>#REF!</v>
      </c>
      <c r="P215" t="e">
        <f>INDEX({"Q3","Q3","Q4","Q4","Q4","Q1","Q1","Q1","Q2","Q2","Q2","Q3"},MONTH(#REF!))</f>
        <v>#REF!</v>
      </c>
    </row>
    <row r="216" spans="1:16" x14ac:dyDescent="0.25">
      <c r="A216" s="18"/>
      <c r="B216" s="15"/>
      <c r="K216" t="str">
        <f t="shared" si="8"/>
        <v>Jan-00</v>
      </c>
      <c r="L216">
        <f>HOUR(MedicalData[[#This Row],[Time]])</f>
        <v>0</v>
      </c>
      <c r="M216" t="e">
        <f t="shared" si="7"/>
        <v>#VALUE!</v>
      </c>
      <c r="N216" t="e">
        <f>TEXT(#REF!,"DDD")</f>
        <v>#REF!</v>
      </c>
      <c r="O216" t="e">
        <f>WEEKNUM(#REF!)</f>
        <v>#REF!</v>
      </c>
      <c r="P216" t="e">
        <f>INDEX({"Q3","Q3","Q4","Q4","Q4","Q1","Q1","Q1","Q2","Q2","Q2","Q3"},MONTH(#REF!))</f>
        <v>#REF!</v>
      </c>
    </row>
    <row r="217" spans="1:16" x14ac:dyDescent="0.25">
      <c r="A217" s="18"/>
      <c r="B217" s="15"/>
      <c r="K217" t="str">
        <f t="shared" si="8"/>
        <v>Jan-00</v>
      </c>
      <c r="L217">
        <f>HOUR(MedicalData[[#This Row],[Time]])</f>
        <v>0</v>
      </c>
      <c r="M217" t="e">
        <f t="shared" si="7"/>
        <v>#VALUE!</v>
      </c>
      <c r="N217" t="e">
        <f>TEXT(#REF!,"DDD")</f>
        <v>#REF!</v>
      </c>
      <c r="O217" t="e">
        <f>WEEKNUM(#REF!)</f>
        <v>#REF!</v>
      </c>
      <c r="P217" t="e">
        <f>INDEX({"Q3","Q3","Q4","Q4","Q4","Q1","Q1","Q1","Q2","Q2","Q2","Q3"},MONTH(#REF!))</f>
        <v>#REF!</v>
      </c>
    </row>
    <row r="218" spans="1:16" x14ac:dyDescent="0.25">
      <c r="A218" s="18"/>
      <c r="B218" s="15"/>
      <c r="K218" t="str">
        <f t="shared" si="8"/>
        <v>Jan-00</v>
      </c>
      <c r="L218">
        <f>HOUR(MedicalData[[#This Row],[Time]])</f>
        <v>0</v>
      </c>
      <c r="M218" t="e">
        <f t="shared" si="7"/>
        <v>#VALUE!</v>
      </c>
      <c r="N218" t="e">
        <f>TEXT(#REF!,"DDD")</f>
        <v>#REF!</v>
      </c>
      <c r="O218" t="e">
        <f>WEEKNUM(#REF!)</f>
        <v>#REF!</v>
      </c>
      <c r="P218" t="e">
        <f>INDEX({"Q3","Q3","Q4","Q4","Q4","Q1","Q1","Q1","Q2","Q2","Q2","Q3"},MONTH(#REF!))</f>
        <v>#REF!</v>
      </c>
    </row>
    <row r="219" spans="1:16" x14ac:dyDescent="0.25">
      <c r="A219" s="18"/>
      <c r="B219" s="15"/>
      <c r="K219" t="str">
        <f t="shared" si="8"/>
        <v>Jan-00</v>
      </c>
      <c r="L219">
        <f>HOUR(MedicalData[[#This Row],[Time]])</f>
        <v>0</v>
      </c>
      <c r="M219" t="e">
        <f t="shared" si="7"/>
        <v>#VALUE!</v>
      </c>
      <c r="N219" t="e">
        <f>TEXT(#REF!,"DDD")</f>
        <v>#REF!</v>
      </c>
      <c r="O219" t="e">
        <f>WEEKNUM(#REF!)</f>
        <v>#REF!</v>
      </c>
      <c r="P219" t="e">
        <f>INDEX({"Q3","Q3","Q4","Q4","Q4","Q1","Q1","Q1","Q2","Q2","Q2","Q3"},MONTH(#REF!))</f>
        <v>#REF!</v>
      </c>
    </row>
    <row r="220" spans="1:16" x14ac:dyDescent="0.25">
      <c r="A220" s="18"/>
      <c r="B220" s="15"/>
      <c r="K220" t="str">
        <f t="shared" si="8"/>
        <v>Jan-00</v>
      </c>
      <c r="L220">
        <f>HOUR(MedicalData[[#This Row],[Time]])</f>
        <v>0</v>
      </c>
      <c r="M220" t="e">
        <f t="shared" si="7"/>
        <v>#VALUE!</v>
      </c>
      <c r="N220" t="e">
        <f>TEXT(#REF!,"DDD")</f>
        <v>#REF!</v>
      </c>
      <c r="O220" t="e">
        <f>WEEKNUM(#REF!)</f>
        <v>#REF!</v>
      </c>
      <c r="P220" t="e">
        <f>INDEX({"Q3","Q3","Q4","Q4","Q4","Q1","Q1","Q1","Q2","Q2","Q2","Q3"},MONTH(#REF!))</f>
        <v>#REF!</v>
      </c>
    </row>
    <row r="221" spans="1:16" x14ac:dyDescent="0.25">
      <c r="A221" s="18"/>
      <c r="B221" s="15"/>
      <c r="K221" t="str">
        <f t="shared" si="8"/>
        <v>Jan-00</v>
      </c>
      <c r="L221">
        <f>HOUR(MedicalData[[#This Row],[Time]])</f>
        <v>0</v>
      </c>
      <c r="M221" t="e">
        <f t="shared" si="7"/>
        <v>#VALUE!</v>
      </c>
      <c r="N221" t="e">
        <f>TEXT(#REF!,"DDD")</f>
        <v>#REF!</v>
      </c>
      <c r="O221" t="e">
        <f>WEEKNUM(#REF!)</f>
        <v>#REF!</v>
      </c>
      <c r="P221" t="e">
        <f>INDEX({"Q3","Q3","Q4","Q4","Q4","Q1","Q1","Q1","Q2","Q2","Q2","Q3"},MONTH(#REF!))</f>
        <v>#REF!</v>
      </c>
    </row>
    <row r="222" spans="1:16" x14ac:dyDescent="0.25">
      <c r="A222" s="18"/>
      <c r="B222" s="15"/>
      <c r="K222" t="str">
        <f t="shared" si="8"/>
        <v>Jan-00</v>
      </c>
      <c r="L222">
        <f>HOUR(MedicalData[[#This Row],[Time]])</f>
        <v>0</v>
      </c>
      <c r="M222" t="e">
        <f t="shared" si="7"/>
        <v>#VALUE!</v>
      </c>
      <c r="N222" t="e">
        <f>TEXT(#REF!,"DDD")</f>
        <v>#REF!</v>
      </c>
      <c r="O222" t="e">
        <f>WEEKNUM(#REF!)</f>
        <v>#REF!</v>
      </c>
      <c r="P222" t="e">
        <f>INDEX({"Q3","Q3","Q4","Q4","Q4","Q1","Q1","Q1","Q2","Q2","Q2","Q3"},MONTH(#REF!))</f>
        <v>#REF!</v>
      </c>
    </row>
    <row r="223" spans="1:16" x14ac:dyDescent="0.25">
      <c r="A223" s="18"/>
      <c r="B223" s="15"/>
      <c r="K223" t="str">
        <f t="shared" si="8"/>
        <v>Jan-00</v>
      </c>
      <c r="L223">
        <f>HOUR(MedicalData[[#This Row],[Time]])</f>
        <v>0</v>
      </c>
      <c r="M223" t="e">
        <f t="shared" si="7"/>
        <v>#VALUE!</v>
      </c>
      <c r="N223" t="e">
        <f>TEXT(#REF!,"DDD")</f>
        <v>#REF!</v>
      </c>
      <c r="O223" t="e">
        <f>WEEKNUM(#REF!)</f>
        <v>#REF!</v>
      </c>
      <c r="P223" t="e">
        <f>INDEX({"Q3","Q3","Q4","Q4","Q4","Q1","Q1","Q1","Q2","Q2","Q2","Q3"},MONTH(#REF!))</f>
        <v>#REF!</v>
      </c>
    </row>
    <row r="224" spans="1:16" x14ac:dyDescent="0.25">
      <c r="A224" s="18"/>
      <c r="B224" s="15"/>
      <c r="K224" t="str">
        <f t="shared" si="8"/>
        <v>Jan-00</v>
      </c>
      <c r="L224">
        <f>HOUR(MedicalData[[#This Row],[Time]])</f>
        <v>0</v>
      </c>
      <c r="M224" t="e">
        <f t="shared" si="7"/>
        <v>#VALUE!</v>
      </c>
      <c r="N224" t="e">
        <f>TEXT(#REF!,"DDD")</f>
        <v>#REF!</v>
      </c>
      <c r="O224" t="e">
        <f>WEEKNUM(#REF!)</f>
        <v>#REF!</v>
      </c>
      <c r="P224" t="e">
        <f>INDEX({"Q3","Q3","Q4","Q4","Q4","Q1","Q1","Q1","Q2","Q2","Q2","Q3"},MONTH(#REF!))</f>
        <v>#REF!</v>
      </c>
    </row>
    <row r="225" spans="1:16" x14ac:dyDescent="0.25">
      <c r="A225" s="18"/>
      <c r="B225" s="15"/>
      <c r="K225" t="str">
        <f t="shared" si="8"/>
        <v>Jan-00</v>
      </c>
      <c r="L225">
        <f>HOUR(MedicalData[[#This Row],[Time]])</f>
        <v>0</v>
      </c>
      <c r="M225" t="e">
        <f t="shared" si="7"/>
        <v>#VALUE!</v>
      </c>
      <c r="N225" t="e">
        <f>TEXT(#REF!,"DDD")</f>
        <v>#REF!</v>
      </c>
      <c r="O225" t="e">
        <f>WEEKNUM(#REF!)</f>
        <v>#REF!</v>
      </c>
      <c r="P225" t="e">
        <f>INDEX({"Q3","Q3","Q4","Q4","Q4","Q1","Q1","Q1","Q2","Q2","Q2","Q3"},MONTH(#REF!))</f>
        <v>#REF!</v>
      </c>
    </row>
    <row r="226" spans="1:16" x14ac:dyDescent="0.25">
      <c r="A226" s="18"/>
      <c r="B226" s="15"/>
      <c r="K226" t="str">
        <f t="shared" si="8"/>
        <v>Jan-00</v>
      </c>
      <c r="L226">
        <f>HOUR(MedicalData[[#This Row],[Time]])</f>
        <v>0</v>
      </c>
      <c r="M226" t="e">
        <f t="shared" si="7"/>
        <v>#VALUE!</v>
      </c>
      <c r="N226" t="e">
        <f>TEXT(#REF!,"DDD")</f>
        <v>#REF!</v>
      </c>
      <c r="O226" t="e">
        <f>WEEKNUM(#REF!)</f>
        <v>#REF!</v>
      </c>
      <c r="P226" t="e">
        <f>INDEX({"Q3","Q3","Q4","Q4","Q4","Q1","Q1","Q1","Q2","Q2","Q2","Q3"},MONTH(#REF!))</f>
        <v>#REF!</v>
      </c>
    </row>
    <row r="227" spans="1:16" x14ac:dyDescent="0.25">
      <c r="A227" s="18"/>
      <c r="B227" s="15"/>
      <c r="K227" t="str">
        <f t="shared" si="8"/>
        <v>Jan-00</v>
      </c>
      <c r="L227">
        <f>HOUR(MedicalData[[#This Row],[Time]])</f>
        <v>0</v>
      </c>
      <c r="M227" t="e">
        <f t="shared" si="7"/>
        <v>#VALUE!</v>
      </c>
      <c r="N227" t="e">
        <f>TEXT(#REF!,"DDD")</f>
        <v>#REF!</v>
      </c>
      <c r="O227" t="e">
        <f>WEEKNUM(#REF!)</f>
        <v>#REF!</v>
      </c>
      <c r="P227" t="e">
        <f>INDEX({"Q3","Q3","Q4","Q4","Q4","Q1","Q1","Q1","Q2","Q2","Q2","Q3"},MONTH(#REF!))</f>
        <v>#REF!</v>
      </c>
    </row>
    <row r="228" spans="1:16" x14ac:dyDescent="0.25">
      <c r="A228" s="18"/>
      <c r="B228" s="15"/>
      <c r="K228" t="str">
        <f t="shared" si="8"/>
        <v>Jan-00</v>
      </c>
      <c r="L228">
        <f>HOUR(MedicalData[[#This Row],[Time]])</f>
        <v>0</v>
      </c>
      <c r="M228" t="e">
        <f t="shared" si="7"/>
        <v>#VALUE!</v>
      </c>
      <c r="N228" t="e">
        <f>TEXT(#REF!,"DDD")</f>
        <v>#REF!</v>
      </c>
      <c r="O228" t="e">
        <f>WEEKNUM(#REF!)</f>
        <v>#REF!</v>
      </c>
      <c r="P228" t="e">
        <f>INDEX({"Q3","Q3","Q4","Q4","Q4","Q1","Q1","Q1","Q2","Q2","Q2","Q3"},MONTH(#REF!))</f>
        <v>#REF!</v>
      </c>
    </row>
    <row r="229" spans="1:16" x14ac:dyDescent="0.25">
      <c r="A229" s="18"/>
      <c r="B229" s="15"/>
      <c r="K229" t="str">
        <f t="shared" si="8"/>
        <v>Jan-00</v>
      </c>
      <c r="L229">
        <f>HOUR(MedicalData[[#This Row],[Time]])</f>
        <v>0</v>
      </c>
      <c r="M229" t="e">
        <f t="shared" si="7"/>
        <v>#VALUE!</v>
      </c>
      <c r="N229" t="e">
        <f>TEXT(#REF!,"DDD")</f>
        <v>#REF!</v>
      </c>
      <c r="O229" t="e">
        <f>WEEKNUM(#REF!)</f>
        <v>#REF!</v>
      </c>
      <c r="P229" t="e">
        <f>INDEX({"Q3","Q3","Q4","Q4","Q4","Q1","Q1","Q1","Q2","Q2","Q2","Q3"},MONTH(#REF!))</f>
        <v>#REF!</v>
      </c>
    </row>
    <row r="230" spans="1:16" x14ac:dyDescent="0.25">
      <c r="A230" s="18"/>
      <c r="B230" s="15"/>
      <c r="K230" t="str">
        <f t="shared" si="8"/>
        <v>Jan-00</v>
      </c>
      <c r="L230">
        <f>HOUR(MedicalData[[#This Row],[Time]])</f>
        <v>0</v>
      </c>
      <c r="M230" t="e">
        <f t="shared" si="7"/>
        <v>#VALUE!</v>
      </c>
      <c r="N230" t="e">
        <f>TEXT(#REF!,"DDD")</f>
        <v>#REF!</v>
      </c>
      <c r="O230" t="e">
        <f>WEEKNUM(#REF!)</f>
        <v>#REF!</v>
      </c>
      <c r="P230" t="e">
        <f>INDEX({"Q3","Q3","Q4","Q4","Q4","Q1","Q1","Q1","Q2","Q2","Q2","Q3"},MONTH(#REF!))</f>
        <v>#REF!</v>
      </c>
    </row>
    <row r="231" spans="1:16" x14ac:dyDescent="0.25">
      <c r="A231" s="18"/>
      <c r="B231" s="15"/>
      <c r="K231" t="str">
        <f t="shared" si="8"/>
        <v>Jan-00</v>
      </c>
      <c r="L231">
        <f>HOUR(MedicalData[[#This Row],[Time]])</f>
        <v>0</v>
      </c>
      <c r="M231" t="e">
        <f t="shared" si="7"/>
        <v>#VALUE!</v>
      </c>
      <c r="N231" t="e">
        <f>TEXT(#REF!,"DDD")</f>
        <v>#REF!</v>
      </c>
      <c r="O231" t="e">
        <f>WEEKNUM(#REF!)</f>
        <v>#REF!</v>
      </c>
      <c r="P231" t="e">
        <f>INDEX({"Q3","Q3","Q4","Q4","Q4","Q1","Q1","Q1","Q2","Q2","Q2","Q3"},MONTH(#REF!))</f>
        <v>#REF!</v>
      </c>
    </row>
    <row r="232" spans="1:16" x14ac:dyDescent="0.25">
      <c r="A232" s="18"/>
      <c r="B232" s="15"/>
      <c r="K232" t="str">
        <f t="shared" si="8"/>
        <v>Jan-00</v>
      </c>
      <c r="L232">
        <f>HOUR(MedicalData[[#This Row],[Time]])</f>
        <v>0</v>
      </c>
      <c r="M232" t="e">
        <f t="shared" si="7"/>
        <v>#VALUE!</v>
      </c>
      <c r="N232" t="e">
        <f>TEXT(#REF!,"DDD")</f>
        <v>#REF!</v>
      </c>
      <c r="O232" t="e">
        <f>WEEKNUM(#REF!)</f>
        <v>#REF!</v>
      </c>
      <c r="P232" t="e">
        <f>INDEX({"Q3","Q3","Q4","Q4","Q4","Q1","Q1","Q1","Q2","Q2","Q2","Q3"},MONTH(#REF!))</f>
        <v>#REF!</v>
      </c>
    </row>
    <row r="233" spans="1:16" x14ac:dyDescent="0.25">
      <c r="A233" s="18"/>
      <c r="B233" s="15"/>
      <c r="K233" t="str">
        <f t="shared" si="8"/>
        <v>Jan-00</v>
      </c>
      <c r="L233">
        <f>HOUR(MedicalData[[#This Row],[Time]])</f>
        <v>0</v>
      </c>
      <c r="M233" t="e">
        <f t="shared" si="7"/>
        <v>#VALUE!</v>
      </c>
      <c r="N233" t="e">
        <f>TEXT(#REF!,"DDD")</f>
        <v>#REF!</v>
      </c>
      <c r="O233" t="e">
        <f>WEEKNUM(#REF!)</f>
        <v>#REF!</v>
      </c>
      <c r="P233" t="e">
        <f>INDEX({"Q3","Q3","Q4","Q4","Q4","Q1","Q1","Q1","Q2","Q2","Q2","Q3"},MONTH(#REF!))</f>
        <v>#REF!</v>
      </c>
    </row>
    <row r="234" spans="1:16" x14ac:dyDescent="0.25">
      <c r="A234" s="18"/>
      <c r="B234" s="15"/>
      <c r="K234" t="str">
        <f t="shared" si="8"/>
        <v>Jan-00</v>
      </c>
      <c r="L234">
        <f>HOUR(MedicalData[[#This Row],[Time]])</f>
        <v>0</v>
      </c>
      <c r="M234" t="e">
        <f t="shared" si="7"/>
        <v>#VALUE!</v>
      </c>
      <c r="N234" t="e">
        <f>TEXT(#REF!,"DDD")</f>
        <v>#REF!</v>
      </c>
      <c r="O234" t="e">
        <f>WEEKNUM(#REF!)</f>
        <v>#REF!</v>
      </c>
      <c r="P234" t="e">
        <f>INDEX({"Q3","Q3","Q4","Q4","Q4","Q1","Q1","Q1","Q2","Q2","Q2","Q3"},MONTH(#REF!))</f>
        <v>#REF!</v>
      </c>
    </row>
    <row r="235" spans="1:16" x14ac:dyDescent="0.25">
      <c r="A235" s="18"/>
      <c r="B235" s="15"/>
      <c r="K235" t="str">
        <f t="shared" si="8"/>
        <v>Jan-00</v>
      </c>
      <c r="L235">
        <f>HOUR(MedicalData[[#This Row],[Time]])</f>
        <v>0</v>
      </c>
      <c r="M235" t="e">
        <f t="shared" si="7"/>
        <v>#VALUE!</v>
      </c>
      <c r="N235" t="e">
        <f>TEXT(#REF!,"DDD")</f>
        <v>#REF!</v>
      </c>
      <c r="O235" t="e">
        <f>WEEKNUM(#REF!)</f>
        <v>#REF!</v>
      </c>
      <c r="P235" t="e">
        <f>INDEX({"Q3","Q3","Q4","Q4","Q4","Q1","Q1","Q1","Q2","Q2","Q2","Q3"},MONTH(#REF!))</f>
        <v>#REF!</v>
      </c>
    </row>
    <row r="236" spans="1:16" x14ac:dyDescent="0.25">
      <c r="A236" s="18"/>
      <c r="B236" s="15"/>
      <c r="K236" t="str">
        <f t="shared" si="8"/>
        <v>Jan-00</v>
      </c>
      <c r="L236">
        <f>HOUR(MedicalData[[#This Row],[Time]])</f>
        <v>0</v>
      </c>
      <c r="M236" t="e">
        <f t="shared" si="7"/>
        <v>#VALUE!</v>
      </c>
      <c r="N236" t="e">
        <f>TEXT(#REF!,"DDD")</f>
        <v>#REF!</v>
      </c>
      <c r="O236" t="e">
        <f>WEEKNUM(#REF!)</f>
        <v>#REF!</v>
      </c>
      <c r="P236" t="e">
        <f>INDEX({"Q3","Q3","Q4","Q4","Q4","Q1","Q1","Q1","Q2","Q2","Q2","Q3"},MONTH(#REF!))</f>
        <v>#REF!</v>
      </c>
    </row>
    <row r="237" spans="1:16" x14ac:dyDescent="0.25">
      <c r="A237" s="18"/>
      <c r="B237" s="15"/>
      <c r="K237" t="str">
        <f t="shared" si="8"/>
        <v>Jan-00</v>
      </c>
      <c r="L237">
        <f>HOUR(MedicalData[[#This Row],[Time]])</f>
        <v>0</v>
      </c>
      <c r="M237" t="e">
        <f t="shared" si="7"/>
        <v>#VALUE!</v>
      </c>
      <c r="N237" t="e">
        <f>TEXT(#REF!,"DDD")</f>
        <v>#REF!</v>
      </c>
      <c r="O237" t="e">
        <f>WEEKNUM(#REF!)</f>
        <v>#REF!</v>
      </c>
      <c r="P237" t="e">
        <f>INDEX({"Q3","Q3","Q4","Q4","Q4","Q1","Q1","Q1","Q2","Q2","Q2","Q3"},MONTH(#REF!))</f>
        <v>#REF!</v>
      </c>
    </row>
    <row r="238" spans="1:16" x14ac:dyDescent="0.25">
      <c r="A238" s="18"/>
      <c r="B238" s="15"/>
      <c r="K238" t="str">
        <f t="shared" si="8"/>
        <v>Jan-00</v>
      </c>
      <c r="L238">
        <f>HOUR(MedicalData[[#This Row],[Time]])</f>
        <v>0</v>
      </c>
      <c r="M238" t="e">
        <f t="shared" si="7"/>
        <v>#VALUE!</v>
      </c>
      <c r="N238" t="e">
        <f>TEXT(#REF!,"DDD")</f>
        <v>#REF!</v>
      </c>
      <c r="O238" t="e">
        <f>WEEKNUM(#REF!)</f>
        <v>#REF!</v>
      </c>
      <c r="P238" t="e">
        <f>INDEX({"Q3","Q3","Q4","Q4","Q4","Q1","Q1","Q1","Q2","Q2","Q2","Q3"},MONTH(#REF!))</f>
        <v>#REF!</v>
      </c>
    </row>
    <row r="239" spans="1:16" x14ac:dyDescent="0.25">
      <c r="A239" s="18"/>
      <c r="B239" s="15"/>
      <c r="K239" t="str">
        <f t="shared" si="8"/>
        <v>Jan-00</v>
      </c>
      <c r="L239">
        <f>HOUR(MedicalData[[#This Row],[Time]])</f>
        <v>0</v>
      </c>
      <c r="M239" t="e">
        <f t="shared" si="7"/>
        <v>#VALUE!</v>
      </c>
      <c r="N239" t="e">
        <f>TEXT(#REF!,"DDD")</f>
        <v>#REF!</v>
      </c>
      <c r="O239" t="e">
        <f>WEEKNUM(#REF!)</f>
        <v>#REF!</v>
      </c>
      <c r="P239" t="e">
        <f>INDEX({"Q3","Q3","Q4","Q4","Q4","Q1","Q1","Q1","Q2","Q2","Q2","Q3"},MONTH(#REF!))</f>
        <v>#REF!</v>
      </c>
    </row>
    <row r="240" spans="1:16" x14ac:dyDescent="0.25">
      <c r="A240" s="18"/>
      <c r="B240" s="15"/>
      <c r="K240" t="str">
        <f t="shared" si="8"/>
        <v>Jan-00</v>
      </c>
      <c r="L240">
        <f>HOUR(MedicalData[[#This Row],[Time]])</f>
        <v>0</v>
      </c>
      <c r="M240" t="e">
        <f t="shared" si="7"/>
        <v>#VALUE!</v>
      </c>
      <c r="N240" t="e">
        <f>TEXT(#REF!,"DDD")</f>
        <v>#REF!</v>
      </c>
      <c r="O240" t="e">
        <f>WEEKNUM(#REF!)</f>
        <v>#REF!</v>
      </c>
      <c r="P240" t="e">
        <f>INDEX({"Q3","Q3","Q4","Q4","Q4","Q1","Q1","Q1","Q2","Q2","Q2","Q3"},MONTH(#REF!))</f>
        <v>#REF!</v>
      </c>
    </row>
    <row r="241" spans="1:16" x14ac:dyDescent="0.25">
      <c r="A241" s="18"/>
      <c r="B241" s="15"/>
      <c r="K241" t="str">
        <f t="shared" si="8"/>
        <v>Jan-00</v>
      </c>
      <c r="L241">
        <f>HOUR(MedicalData[[#This Row],[Time]])</f>
        <v>0</v>
      </c>
      <c r="M241" t="e">
        <f t="shared" si="7"/>
        <v>#VALUE!</v>
      </c>
      <c r="N241" t="e">
        <f>TEXT(#REF!,"DDD")</f>
        <v>#REF!</v>
      </c>
      <c r="O241" t="e">
        <f>WEEKNUM(#REF!)</f>
        <v>#REF!</v>
      </c>
      <c r="P241" t="e">
        <f>INDEX({"Q3","Q3","Q4","Q4","Q4","Q1","Q1","Q1","Q2","Q2","Q2","Q3"},MONTH(#REF!))</f>
        <v>#REF!</v>
      </c>
    </row>
    <row r="242" spans="1:16" x14ac:dyDescent="0.25">
      <c r="A242" s="18"/>
      <c r="B242" s="15"/>
      <c r="K242" t="str">
        <f t="shared" si="8"/>
        <v>Jan-00</v>
      </c>
      <c r="L242">
        <f>HOUR(MedicalData[[#This Row],[Time]])</f>
        <v>0</v>
      </c>
      <c r="M242" t="e">
        <f t="shared" si="7"/>
        <v>#VALUE!</v>
      </c>
      <c r="N242" t="e">
        <f>TEXT(#REF!,"DDD")</f>
        <v>#REF!</v>
      </c>
      <c r="O242" t="e">
        <f>WEEKNUM(#REF!)</f>
        <v>#REF!</v>
      </c>
      <c r="P242" t="e">
        <f>INDEX({"Q3","Q3","Q4","Q4","Q4","Q1","Q1","Q1","Q2","Q2","Q2","Q3"},MONTH(#REF!))</f>
        <v>#REF!</v>
      </c>
    </row>
    <row r="243" spans="1:16" x14ac:dyDescent="0.25">
      <c r="A243" s="18"/>
      <c r="B243" s="15"/>
      <c r="K243" t="str">
        <f t="shared" si="8"/>
        <v>Jan-00</v>
      </c>
      <c r="L243">
        <f>HOUR(MedicalData[[#This Row],[Time]])</f>
        <v>0</v>
      </c>
      <c r="M243" t="e">
        <f t="shared" si="7"/>
        <v>#VALUE!</v>
      </c>
      <c r="N243" t="e">
        <f>TEXT(#REF!,"DDD")</f>
        <v>#REF!</v>
      </c>
      <c r="O243" t="e">
        <f>WEEKNUM(#REF!)</f>
        <v>#REF!</v>
      </c>
      <c r="P243" t="e">
        <f>INDEX({"Q3","Q3","Q4","Q4","Q4","Q1","Q1","Q1","Q2","Q2","Q2","Q3"},MONTH(#REF!))</f>
        <v>#REF!</v>
      </c>
    </row>
    <row r="244" spans="1:16" x14ac:dyDescent="0.25">
      <c r="A244" s="18"/>
      <c r="B244" s="15"/>
      <c r="K244" t="str">
        <f t="shared" si="8"/>
        <v>Jan-00</v>
      </c>
      <c r="L244">
        <f>HOUR(MedicalData[[#This Row],[Time]])</f>
        <v>0</v>
      </c>
      <c r="M244" t="e">
        <f t="shared" si="7"/>
        <v>#VALUE!</v>
      </c>
      <c r="N244" t="e">
        <f>TEXT(#REF!,"DDD")</f>
        <v>#REF!</v>
      </c>
      <c r="O244" t="e">
        <f>WEEKNUM(#REF!)</f>
        <v>#REF!</v>
      </c>
      <c r="P244" t="e">
        <f>INDEX({"Q3","Q3","Q4","Q4","Q4","Q1","Q1","Q1","Q2","Q2","Q2","Q3"},MONTH(#REF!))</f>
        <v>#REF!</v>
      </c>
    </row>
    <row r="245" spans="1:16" x14ac:dyDescent="0.25">
      <c r="A245" s="18"/>
      <c r="B245" s="15"/>
      <c r="K245" t="str">
        <f t="shared" si="8"/>
        <v>Jan-00</v>
      </c>
      <c r="L245">
        <f>HOUR(MedicalData[[#This Row],[Time]])</f>
        <v>0</v>
      </c>
      <c r="M245" t="e">
        <f t="shared" si="7"/>
        <v>#VALUE!</v>
      </c>
      <c r="N245" t="e">
        <f>TEXT(#REF!,"DDD")</f>
        <v>#REF!</v>
      </c>
      <c r="O245" t="e">
        <f>WEEKNUM(#REF!)</f>
        <v>#REF!</v>
      </c>
      <c r="P245" t="e">
        <f>INDEX({"Q3","Q3","Q4","Q4","Q4","Q1","Q1","Q1","Q2","Q2","Q2","Q3"},MONTH(#REF!))</f>
        <v>#REF!</v>
      </c>
    </row>
    <row r="246" spans="1:16" x14ac:dyDescent="0.25">
      <c r="A246" s="18"/>
      <c r="B246" s="15"/>
      <c r="K246" t="str">
        <f t="shared" si="8"/>
        <v>Jan-00</v>
      </c>
      <c r="L246">
        <f>HOUR(MedicalData[[#This Row],[Time]])</f>
        <v>0</v>
      </c>
      <c r="M246" t="e">
        <f t="shared" si="7"/>
        <v>#VALUE!</v>
      </c>
      <c r="N246" t="e">
        <f>TEXT(#REF!,"DDD")</f>
        <v>#REF!</v>
      </c>
      <c r="O246" t="e">
        <f>WEEKNUM(#REF!)</f>
        <v>#REF!</v>
      </c>
      <c r="P246" t="e">
        <f>INDEX({"Q3","Q3","Q4","Q4","Q4","Q1","Q1","Q1","Q2","Q2","Q2","Q3"},MONTH(#REF!))</f>
        <v>#REF!</v>
      </c>
    </row>
    <row r="247" spans="1:16" x14ac:dyDescent="0.25">
      <c r="A247" s="18"/>
      <c r="B247" s="15"/>
      <c r="K247" t="str">
        <f t="shared" si="8"/>
        <v>Jan-00</v>
      </c>
      <c r="L247">
        <f>HOUR(MedicalData[[#This Row],[Time]])</f>
        <v>0</v>
      </c>
      <c r="M247" t="e">
        <f t="shared" si="7"/>
        <v>#VALUE!</v>
      </c>
      <c r="N247" t="e">
        <f>TEXT(#REF!,"DDD")</f>
        <v>#REF!</v>
      </c>
      <c r="O247" t="e">
        <f>WEEKNUM(#REF!)</f>
        <v>#REF!</v>
      </c>
      <c r="P247" t="e">
        <f>INDEX({"Q3","Q3","Q4","Q4","Q4","Q1","Q1","Q1","Q2","Q2","Q2","Q3"},MONTH(#REF!))</f>
        <v>#REF!</v>
      </c>
    </row>
    <row r="248" spans="1:16" x14ac:dyDescent="0.25">
      <c r="A248" s="18"/>
      <c r="B248" s="15"/>
      <c r="K248" t="str">
        <f t="shared" si="8"/>
        <v>Jan-00</v>
      </c>
      <c r="L248">
        <f>HOUR(MedicalData[[#This Row],[Time]])</f>
        <v>0</v>
      </c>
      <c r="M248" t="e">
        <f t="shared" si="7"/>
        <v>#VALUE!</v>
      </c>
      <c r="N248" t="e">
        <f>TEXT(#REF!,"DDD")</f>
        <v>#REF!</v>
      </c>
      <c r="O248" t="e">
        <f>WEEKNUM(#REF!)</f>
        <v>#REF!</v>
      </c>
      <c r="P248" t="e">
        <f>INDEX({"Q3","Q3","Q4","Q4","Q4","Q1","Q1","Q1","Q2","Q2","Q2","Q3"},MONTH(#REF!))</f>
        <v>#REF!</v>
      </c>
    </row>
    <row r="249" spans="1:16" x14ac:dyDescent="0.25">
      <c r="A249" s="18"/>
      <c r="B249" s="15"/>
      <c r="K249" t="str">
        <f t="shared" si="8"/>
        <v>Jan-00</v>
      </c>
      <c r="L249">
        <f>HOUR(MedicalData[[#This Row],[Time]])</f>
        <v>0</v>
      </c>
      <c r="M249" t="e">
        <f t="shared" si="7"/>
        <v>#VALUE!</v>
      </c>
      <c r="N249" t="e">
        <f>TEXT(#REF!,"DDD")</f>
        <v>#REF!</v>
      </c>
      <c r="O249" t="e">
        <f>WEEKNUM(#REF!)</f>
        <v>#REF!</v>
      </c>
      <c r="P249" t="e">
        <f>INDEX({"Q3","Q3","Q4","Q4","Q4","Q1","Q1","Q1","Q2","Q2","Q2","Q3"},MONTH(#REF!))</f>
        <v>#REF!</v>
      </c>
    </row>
    <row r="250" spans="1:16" x14ac:dyDescent="0.25">
      <c r="A250" s="18"/>
      <c r="B250" s="15"/>
      <c r="K250" t="str">
        <f t="shared" si="8"/>
        <v>Jan-00</v>
      </c>
      <c r="L250">
        <f>HOUR(MedicalData[[#This Row],[Time]])</f>
        <v>0</v>
      </c>
      <c r="M250" t="e">
        <f t="shared" si="7"/>
        <v>#VALUE!</v>
      </c>
      <c r="N250" t="e">
        <f>TEXT(#REF!,"DDD")</f>
        <v>#REF!</v>
      </c>
      <c r="O250" t="e">
        <f>WEEKNUM(#REF!)</f>
        <v>#REF!</v>
      </c>
      <c r="P250" t="e">
        <f>INDEX({"Q3","Q3","Q4","Q4","Q4","Q1","Q1","Q1","Q2","Q2","Q2","Q3"},MONTH(#REF!))</f>
        <v>#REF!</v>
      </c>
    </row>
    <row r="251" spans="1:16" x14ac:dyDescent="0.25">
      <c r="A251" s="18"/>
      <c r="B251" s="15"/>
      <c r="K251" t="str">
        <f t="shared" si="8"/>
        <v>Jan-00</v>
      </c>
      <c r="L251">
        <f>HOUR(MedicalData[[#This Row],[Time]])</f>
        <v>0</v>
      </c>
      <c r="M251" t="e">
        <f t="shared" si="7"/>
        <v>#VALUE!</v>
      </c>
      <c r="N251" t="e">
        <f>TEXT(#REF!,"DDD")</f>
        <v>#REF!</v>
      </c>
      <c r="O251" t="e">
        <f>WEEKNUM(#REF!)</f>
        <v>#REF!</v>
      </c>
      <c r="P251" t="e">
        <f>INDEX({"Q3","Q3","Q4","Q4","Q4","Q1","Q1","Q1","Q2","Q2","Q2","Q3"},MONTH(#REF!))</f>
        <v>#REF!</v>
      </c>
    </row>
    <row r="252" spans="1:16" x14ac:dyDescent="0.25">
      <c r="A252" s="18"/>
      <c r="B252" s="15"/>
      <c r="K252" t="str">
        <f t="shared" si="8"/>
        <v>Jan-00</v>
      </c>
      <c r="L252">
        <f>HOUR(MedicalData[[#This Row],[Time]])</f>
        <v>0</v>
      </c>
      <c r="M252" t="e">
        <f t="shared" si="7"/>
        <v>#VALUE!</v>
      </c>
      <c r="N252" t="e">
        <f>TEXT(#REF!,"DDD")</f>
        <v>#REF!</v>
      </c>
      <c r="O252" t="e">
        <f>WEEKNUM(#REF!)</f>
        <v>#REF!</v>
      </c>
      <c r="P252" t="e">
        <f>INDEX({"Q3","Q3","Q4","Q4","Q4","Q1","Q1","Q1","Q2","Q2","Q2","Q3"},MONTH(#REF!))</f>
        <v>#REF!</v>
      </c>
    </row>
    <row r="253" spans="1:16" x14ac:dyDescent="0.25">
      <c r="A253" s="18"/>
      <c r="B253" s="15"/>
      <c r="K253" t="str">
        <f t="shared" si="8"/>
        <v>Jan-00</v>
      </c>
      <c r="L253">
        <f>HOUR(MedicalData[[#This Row],[Time]])</f>
        <v>0</v>
      </c>
      <c r="M253" t="e">
        <f t="shared" si="7"/>
        <v>#VALUE!</v>
      </c>
      <c r="N253" t="e">
        <f>TEXT(#REF!,"DDD")</f>
        <v>#REF!</v>
      </c>
      <c r="O253" t="e">
        <f>WEEKNUM(#REF!)</f>
        <v>#REF!</v>
      </c>
      <c r="P253" t="e">
        <f>INDEX({"Q3","Q3","Q4","Q4","Q4","Q1","Q1","Q1","Q2","Q2","Q2","Q3"},MONTH(#REF!))</f>
        <v>#REF!</v>
      </c>
    </row>
    <row r="254" spans="1:16" x14ac:dyDescent="0.25">
      <c r="A254" s="18"/>
      <c r="B254" s="15"/>
      <c r="K254" t="str">
        <f t="shared" si="8"/>
        <v>Jan-00</v>
      </c>
      <c r="L254">
        <f>HOUR(MedicalData[[#This Row],[Time]])</f>
        <v>0</v>
      </c>
      <c r="M254" t="e">
        <f t="shared" si="7"/>
        <v>#VALUE!</v>
      </c>
      <c r="N254" t="e">
        <f>TEXT(#REF!,"DDD")</f>
        <v>#REF!</v>
      </c>
      <c r="O254" t="e">
        <f>WEEKNUM(#REF!)</f>
        <v>#REF!</v>
      </c>
      <c r="P254" t="e">
        <f>INDEX({"Q3","Q3","Q4","Q4","Q4","Q1","Q1","Q1","Q2","Q2","Q2","Q3"},MONTH(#REF!))</f>
        <v>#REF!</v>
      </c>
    </row>
    <row r="255" spans="1:16" x14ac:dyDescent="0.25">
      <c r="A255" s="18"/>
      <c r="B255" s="15"/>
      <c r="K255" t="str">
        <f t="shared" si="8"/>
        <v>Jan-00</v>
      </c>
      <c r="L255">
        <f>HOUR(MedicalData[[#This Row],[Time]])</f>
        <v>0</v>
      </c>
      <c r="M255" t="e">
        <f t="shared" si="7"/>
        <v>#VALUE!</v>
      </c>
      <c r="N255" t="e">
        <f>TEXT(#REF!,"DDD")</f>
        <v>#REF!</v>
      </c>
      <c r="O255" t="e">
        <f>WEEKNUM(#REF!)</f>
        <v>#REF!</v>
      </c>
      <c r="P255" t="e">
        <f>INDEX({"Q3","Q3","Q4","Q4","Q4","Q1","Q1","Q1","Q2","Q2","Q2","Q3"},MONTH(#REF!))</f>
        <v>#REF!</v>
      </c>
    </row>
    <row r="256" spans="1:16" x14ac:dyDescent="0.25">
      <c r="A256" s="18"/>
      <c r="B256" s="15"/>
      <c r="K256" t="str">
        <f t="shared" si="8"/>
        <v>Jan-00</v>
      </c>
      <c r="L256">
        <f>HOUR(MedicalData[[#This Row],[Time]])</f>
        <v>0</v>
      </c>
      <c r="M256" t="e">
        <f t="shared" si="7"/>
        <v>#VALUE!</v>
      </c>
      <c r="N256" t="e">
        <f>TEXT(#REF!,"DDD")</f>
        <v>#REF!</v>
      </c>
      <c r="O256" t="e">
        <f>WEEKNUM(#REF!)</f>
        <v>#REF!</v>
      </c>
      <c r="P256" t="e">
        <f>INDEX({"Q3","Q3","Q4","Q4","Q4","Q1","Q1","Q1","Q2","Q2","Q2","Q3"},MONTH(#REF!))</f>
        <v>#REF!</v>
      </c>
    </row>
    <row r="257" spans="1:16" x14ac:dyDescent="0.25">
      <c r="A257" s="18"/>
      <c r="B257" s="15"/>
      <c r="K257" t="str">
        <f t="shared" si="8"/>
        <v>Jan-00</v>
      </c>
      <c r="L257">
        <f>HOUR(MedicalData[[#This Row],[Time]])</f>
        <v>0</v>
      </c>
      <c r="M257" t="e">
        <f t="shared" si="7"/>
        <v>#VALUE!</v>
      </c>
      <c r="N257" t="e">
        <f>TEXT(#REF!,"DDD")</f>
        <v>#REF!</v>
      </c>
      <c r="O257" t="e">
        <f>WEEKNUM(#REF!)</f>
        <v>#REF!</v>
      </c>
      <c r="P257" t="e">
        <f>INDEX({"Q3","Q3","Q4","Q4","Q4","Q1","Q1","Q1","Q2","Q2","Q2","Q3"},MONTH(#REF!))</f>
        <v>#REF!</v>
      </c>
    </row>
    <row r="258" spans="1:16" x14ac:dyDescent="0.25">
      <c r="A258" s="18"/>
      <c r="B258" s="15"/>
      <c r="K258" t="str">
        <f t="shared" si="8"/>
        <v>Jan-00</v>
      </c>
      <c r="L258">
        <f>HOUR(MedicalData[[#This Row],[Time]])</f>
        <v>0</v>
      </c>
      <c r="M258" t="e">
        <f t="shared" si="7"/>
        <v>#VALUE!</v>
      </c>
      <c r="N258" t="e">
        <f>TEXT(#REF!,"DDD")</f>
        <v>#REF!</v>
      </c>
      <c r="O258" t="e">
        <f>WEEKNUM(#REF!)</f>
        <v>#REF!</v>
      </c>
      <c r="P258" t="e">
        <f>INDEX({"Q3","Q3","Q4","Q4","Q4","Q1","Q1","Q1","Q2","Q2","Q2","Q3"},MONTH(#REF!))</f>
        <v>#REF!</v>
      </c>
    </row>
    <row r="259" spans="1:16" x14ac:dyDescent="0.25">
      <c r="A259" s="18"/>
      <c r="B259" s="15"/>
      <c r="K259" t="str">
        <f t="shared" si="8"/>
        <v>Jan-00</v>
      </c>
      <c r="L259">
        <f>HOUR(MedicalData[[#This Row],[Time]])</f>
        <v>0</v>
      </c>
      <c r="M259" t="e">
        <f t="shared" ref="M259:M322" si="9" xml:space="preserve">  IF(_xleta.HOUR&lt;6,"Night",IF(_xleta.HOUR&lt;12,"Morning",IF(_xleta.HOUR&lt;18,"Afternoon","Evening")))</f>
        <v>#VALUE!</v>
      </c>
      <c r="N259" t="e">
        <f>TEXT(#REF!,"DDD")</f>
        <v>#REF!</v>
      </c>
      <c r="O259" t="e">
        <f>WEEKNUM(#REF!)</f>
        <v>#REF!</v>
      </c>
      <c r="P259" t="e">
        <f>INDEX({"Q3","Q3","Q4","Q4","Q4","Q1","Q1","Q1","Q2","Q2","Q2","Q3"},MONTH(#REF!))</f>
        <v>#REF!</v>
      </c>
    </row>
    <row r="260" spans="1:16" x14ac:dyDescent="0.25">
      <c r="A260" s="18"/>
      <c r="B260" s="15"/>
      <c r="K260" t="str">
        <f t="shared" si="8"/>
        <v>Jan-00</v>
      </c>
      <c r="L260">
        <f>HOUR(MedicalData[[#This Row],[Time]])</f>
        <v>0</v>
      </c>
      <c r="M260" t="e">
        <f t="shared" si="9"/>
        <v>#VALUE!</v>
      </c>
      <c r="N260" t="e">
        <f>TEXT(#REF!,"DDD")</f>
        <v>#REF!</v>
      </c>
      <c r="O260" t="e">
        <f>WEEKNUM(#REF!)</f>
        <v>#REF!</v>
      </c>
      <c r="P260" t="e">
        <f>INDEX({"Q3","Q3","Q4","Q4","Q4","Q1","Q1","Q1","Q2","Q2","Q2","Q3"},MONTH(#REF!))</f>
        <v>#REF!</v>
      </c>
    </row>
    <row r="261" spans="1:16" x14ac:dyDescent="0.25">
      <c r="A261" s="18"/>
      <c r="B261" s="15"/>
      <c r="K261" t="str">
        <f t="shared" ref="K261:K324" si="10">TEXT(A261,"MMM-YY")</f>
        <v>Jan-00</v>
      </c>
      <c r="L261">
        <f>HOUR(MedicalData[[#This Row],[Time]])</f>
        <v>0</v>
      </c>
      <c r="M261" t="e">
        <f t="shared" si="9"/>
        <v>#VALUE!</v>
      </c>
      <c r="N261" t="e">
        <f>TEXT(#REF!,"DDD")</f>
        <v>#REF!</v>
      </c>
      <c r="O261" t="e">
        <f>WEEKNUM(#REF!)</f>
        <v>#REF!</v>
      </c>
      <c r="P261" t="e">
        <f>INDEX({"Q3","Q3","Q4","Q4","Q4","Q1","Q1","Q1","Q2","Q2","Q2","Q3"},MONTH(#REF!))</f>
        <v>#REF!</v>
      </c>
    </row>
    <row r="262" spans="1:16" x14ac:dyDescent="0.25">
      <c r="A262" s="18"/>
      <c r="B262" s="15"/>
      <c r="K262" t="str">
        <f t="shared" si="10"/>
        <v>Jan-00</v>
      </c>
      <c r="L262">
        <f>HOUR(MedicalData[[#This Row],[Time]])</f>
        <v>0</v>
      </c>
      <c r="M262" t="e">
        <f t="shared" si="9"/>
        <v>#VALUE!</v>
      </c>
      <c r="N262" t="e">
        <f>TEXT(#REF!,"DDD")</f>
        <v>#REF!</v>
      </c>
      <c r="O262" t="e">
        <f>WEEKNUM(#REF!)</f>
        <v>#REF!</v>
      </c>
      <c r="P262" t="e">
        <f>INDEX({"Q3","Q3","Q4","Q4","Q4","Q1","Q1","Q1","Q2","Q2","Q2","Q3"},MONTH(#REF!))</f>
        <v>#REF!</v>
      </c>
    </row>
    <row r="263" spans="1:16" x14ac:dyDescent="0.25">
      <c r="A263" s="18"/>
      <c r="B263" s="15"/>
      <c r="K263" t="str">
        <f t="shared" si="10"/>
        <v>Jan-00</v>
      </c>
      <c r="L263">
        <f>HOUR(MedicalData[[#This Row],[Time]])</f>
        <v>0</v>
      </c>
      <c r="M263" t="e">
        <f t="shared" si="9"/>
        <v>#VALUE!</v>
      </c>
      <c r="N263" t="e">
        <f>TEXT(#REF!,"DDD")</f>
        <v>#REF!</v>
      </c>
      <c r="O263" t="e">
        <f>WEEKNUM(#REF!)</f>
        <v>#REF!</v>
      </c>
      <c r="P263" t="e">
        <f>INDEX({"Q3","Q3","Q4","Q4","Q4","Q1","Q1","Q1","Q2","Q2","Q2","Q3"},MONTH(#REF!))</f>
        <v>#REF!</v>
      </c>
    </row>
    <row r="264" spans="1:16" x14ac:dyDescent="0.25">
      <c r="A264" s="18"/>
      <c r="B264" s="15"/>
      <c r="K264" t="str">
        <f t="shared" si="10"/>
        <v>Jan-00</v>
      </c>
      <c r="L264">
        <f>HOUR(MedicalData[[#This Row],[Time]])</f>
        <v>0</v>
      </c>
      <c r="M264" t="e">
        <f t="shared" si="9"/>
        <v>#VALUE!</v>
      </c>
      <c r="N264" t="e">
        <f>TEXT(#REF!,"DDD")</f>
        <v>#REF!</v>
      </c>
      <c r="O264" t="e">
        <f>WEEKNUM(#REF!)</f>
        <v>#REF!</v>
      </c>
      <c r="P264" t="e">
        <f>INDEX({"Q3","Q3","Q4","Q4","Q4","Q1","Q1","Q1","Q2","Q2","Q2","Q3"},MONTH(#REF!))</f>
        <v>#REF!</v>
      </c>
    </row>
    <row r="265" spans="1:16" x14ac:dyDescent="0.25">
      <c r="A265" s="18"/>
      <c r="B265" s="15"/>
      <c r="K265" t="str">
        <f t="shared" si="10"/>
        <v>Jan-00</v>
      </c>
      <c r="L265">
        <f>HOUR(MedicalData[[#This Row],[Time]])</f>
        <v>0</v>
      </c>
      <c r="M265" t="e">
        <f t="shared" si="9"/>
        <v>#VALUE!</v>
      </c>
      <c r="N265" t="e">
        <f>TEXT(#REF!,"DDD")</f>
        <v>#REF!</v>
      </c>
      <c r="O265" t="e">
        <f>WEEKNUM(#REF!)</f>
        <v>#REF!</v>
      </c>
      <c r="P265" t="e">
        <f>INDEX({"Q3","Q3","Q4","Q4","Q4","Q1","Q1","Q1","Q2","Q2","Q2","Q3"},MONTH(#REF!))</f>
        <v>#REF!</v>
      </c>
    </row>
    <row r="266" spans="1:16" x14ac:dyDescent="0.25">
      <c r="A266" s="18"/>
      <c r="B266" s="15"/>
      <c r="K266" t="str">
        <f t="shared" si="10"/>
        <v>Jan-00</v>
      </c>
      <c r="L266">
        <f>HOUR(MedicalData[[#This Row],[Time]])</f>
        <v>0</v>
      </c>
      <c r="M266" t="e">
        <f t="shared" si="9"/>
        <v>#VALUE!</v>
      </c>
      <c r="N266" t="e">
        <f>TEXT(#REF!,"DDD")</f>
        <v>#REF!</v>
      </c>
      <c r="O266" t="e">
        <f>WEEKNUM(#REF!)</f>
        <v>#REF!</v>
      </c>
      <c r="P266" t="e">
        <f>INDEX({"Q3","Q3","Q4","Q4","Q4","Q1","Q1","Q1","Q2","Q2","Q2","Q3"},MONTH(#REF!))</f>
        <v>#REF!</v>
      </c>
    </row>
    <row r="267" spans="1:16" x14ac:dyDescent="0.25">
      <c r="A267" s="18"/>
      <c r="B267" s="15"/>
      <c r="K267" t="str">
        <f t="shared" si="10"/>
        <v>Jan-00</v>
      </c>
      <c r="L267">
        <f>HOUR(MedicalData[[#This Row],[Time]])</f>
        <v>0</v>
      </c>
      <c r="M267" t="e">
        <f t="shared" si="9"/>
        <v>#VALUE!</v>
      </c>
      <c r="N267" t="e">
        <f>TEXT(#REF!,"DDD")</f>
        <v>#REF!</v>
      </c>
      <c r="O267" t="e">
        <f>WEEKNUM(#REF!)</f>
        <v>#REF!</v>
      </c>
      <c r="P267" t="e">
        <f>INDEX({"Q3","Q3","Q4","Q4","Q4","Q1","Q1","Q1","Q2","Q2","Q2","Q3"},MONTH(#REF!))</f>
        <v>#REF!</v>
      </c>
    </row>
    <row r="268" spans="1:16" x14ac:dyDescent="0.25">
      <c r="A268" s="18"/>
      <c r="B268" s="15"/>
      <c r="K268" t="str">
        <f t="shared" si="10"/>
        <v>Jan-00</v>
      </c>
      <c r="L268">
        <f>HOUR(MedicalData[[#This Row],[Time]])</f>
        <v>0</v>
      </c>
      <c r="M268" t="e">
        <f t="shared" si="9"/>
        <v>#VALUE!</v>
      </c>
      <c r="N268" t="e">
        <f>TEXT(#REF!,"DDD")</f>
        <v>#REF!</v>
      </c>
      <c r="O268" t="e">
        <f>WEEKNUM(#REF!)</f>
        <v>#REF!</v>
      </c>
      <c r="P268" t="e">
        <f>INDEX({"Q3","Q3","Q4","Q4","Q4","Q1","Q1","Q1","Q2","Q2","Q2","Q3"},MONTH(#REF!))</f>
        <v>#REF!</v>
      </c>
    </row>
    <row r="269" spans="1:16" x14ac:dyDescent="0.25">
      <c r="A269" s="18"/>
      <c r="B269" s="15"/>
      <c r="K269" t="str">
        <f t="shared" si="10"/>
        <v>Jan-00</v>
      </c>
      <c r="L269">
        <f>HOUR(MedicalData[[#This Row],[Time]])</f>
        <v>0</v>
      </c>
      <c r="M269" t="e">
        <f t="shared" si="9"/>
        <v>#VALUE!</v>
      </c>
      <c r="N269" t="e">
        <f>TEXT(#REF!,"DDD")</f>
        <v>#REF!</v>
      </c>
      <c r="O269" t="e">
        <f>WEEKNUM(#REF!)</f>
        <v>#REF!</v>
      </c>
      <c r="P269" t="e">
        <f>INDEX({"Q3","Q3","Q4","Q4","Q4","Q1","Q1","Q1","Q2","Q2","Q2","Q3"},MONTH(#REF!))</f>
        <v>#REF!</v>
      </c>
    </row>
    <row r="270" spans="1:16" x14ac:dyDescent="0.25">
      <c r="A270" s="18"/>
      <c r="B270" s="15"/>
      <c r="K270" t="str">
        <f t="shared" si="10"/>
        <v>Jan-00</v>
      </c>
      <c r="L270">
        <f>HOUR(MedicalData[[#This Row],[Time]])</f>
        <v>0</v>
      </c>
      <c r="M270" t="e">
        <f t="shared" si="9"/>
        <v>#VALUE!</v>
      </c>
      <c r="N270" t="e">
        <f>TEXT(#REF!,"DDD")</f>
        <v>#REF!</v>
      </c>
      <c r="O270" t="e">
        <f>WEEKNUM(#REF!)</f>
        <v>#REF!</v>
      </c>
      <c r="P270" t="e">
        <f>INDEX({"Q3","Q3","Q4","Q4","Q4","Q1","Q1","Q1","Q2","Q2","Q2","Q3"},MONTH(#REF!))</f>
        <v>#REF!</v>
      </c>
    </row>
    <row r="271" spans="1:16" x14ac:dyDescent="0.25">
      <c r="A271" s="18"/>
      <c r="B271" s="15"/>
      <c r="K271" t="str">
        <f t="shared" si="10"/>
        <v>Jan-00</v>
      </c>
      <c r="L271">
        <f>HOUR(MedicalData[[#This Row],[Time]])</f>
        <v>0</v>
      </c>
      <c r="M271" t="e">
        <f t="shared" si="9"/>
        <v>#VALUE!</v>
      </c>
      <c r="N271" t="e">
        <f>TEXT(#REF!,"DDD")</f>
        <v>#REF!</v>
      </c>
      <c r="O271" t="e">
        <f>WEEKNUM(#REF!)</f>
        <v>#REF!</v>
      </c>
      <c r="P271" t="e">
        <f>INDEX({"Q3","Q3","Q4","Q4","Q4","Q1","Q1","Q1","Q2","Q2","Q2","Q3"},MONTH(#REF!))</f>
        <v>#REF!</v>
      </c>
    </row>
    <row r="272" spans="1:16" x14ac:dyDescent="0.25">
      <c r="A272" s="18"/>
      <c r="B272" s="15"/>
      <c r="K272" t="str">
        <f t="shared" si="10"/>
        <v>Jan-00</v>
      </c>
      <c r="L272">
        <f>HOUR(MedicalData[[#This Row],[Time]])</f>
        <v>0</v>
      </c>
      <c r="M272" t="e">
        <f t="shared" si="9"/>
        <v>#VALUE!</v>
      </c>
      <c r="N272" t="e">
        <f>TEXT(#REF!,"DDD")</f>
        <v>#REF!</v>
      </c>
      <c r="O272" t="e">
        <f>WEEKNUM(#REF!)</f>
        <v>#REF!</v>
      </c>
      <c r="P272" t="e">
        <f>INDEX({"Q3","Q3","Q4","Q4","Q4","Q1","Q1","Q1","Q2","Q2","Q2","Q3"},MONTH(#REF!))</f>
        <v>#REF!</v>
      </c>
    </row>
    <row r="273" spans="1:16" x14ac:dyDescent="0.25">
      <c r="A273" s="18"/>
      <c r="B273" s="15"/>
      <c r="K273" t="str">
        <f t="shared" si="10"/>
        <v>Jan-00</v>
      </c>
      <c r="L273">
        <f>HOUR(MedicalData[[#This Row],[Time]])</f>
        <v>0</v>
      </c>
      <c r="M273" t="e">
        <f t="shared" si="9"/>
        <v>#VALUE!</v>
      </c>
      <c r="N273" t="e">
        <f>TEXT(#REF!,"DDD")</f>
        <v>#REF!</v>
      </c>
      <c r="O273" t="e">
        <f>WEEKNUM(#REF!)</f>
        <v>#REF!</v>
      </c>
      <c r="P273" t="e">
        <f>INDEX({"Q3","Q3","Q4","Q4","Q4","Q1","Q1","Q1","Q2","Q2","Q2","Q3"},MONTH(#REF!))</f>
        <v>#REF!</v>
      </c>
    </row>
    <row r="274" spans="1:16" x14ac:dyDescent="0.25">
      <c r="A274" s="18"/>
      <c r="B274" s="15"/>
      <c r="K274" t="str">
        <f t="shared" si="10"/>
        <v>Jan-00</v>
      </c>
      <c r="L274">
        <f>HOUR(MedicalData[[#This Row],[Time]])</f>
        <v>0</v>
      </c>
      <c r="M274" t="e">
        <f t="shared" si="9"/>
        <v>#VALUE!</v>
      </c>
      <c r="N274" t="e">
        <f>TEXT(#REF!,"DDD")</f>
        <v>#REF!</v>
      </c>
      <c r="O274" t="e">
        <f>WEEKNUM(#REF!)</f>
        <v>#REF!</v>
      </c>
      <c r="P274" t="e">
        <f>INDEX({"Q3","Q3","Q4","Q4","Q4","Q1","Q1","Q1","Q2","Q2","Q2","Q3"},MONTH(#REF!))</f>
        <v>#REF!</v>
      </c>
    </row>
    <row r="275" spans="1:16" x14ac:dyDescent="0.25">
      <c r="A275" s="18"/>
      <c r="B275" s="15"/>
      <c r="K275" t="str">
        <f t="shared" si="10"/>
        <v>Jan-00</v>
      </c>
      <c r="L275">
        <f>HOUR(MedicalData[[#This Row],[Time]])</f>
        <v>0</v>
      </c>
      <c r="M275" t="e">
        <f t="shared" si="9"/>
        <v>#VALUE!</v>
      </c>
      <c r="N275" t="e">
        <f>TEXT(#REF!,"DDD")</f>
        <v>#REF!</v>
      </c>
      <c r="O275" t="e">
        <f>WEEKNUM(#REF!)</f>
        <v>#REF!</v>
      </c>
      <c r="P275" t="e">
        <f>INDEX({"Q3","Q3","Q4","Q4","Q4","Q1","Q1","Q1","Q2","Q2","Q2","Q3"},MONTH(#REF!))</f>
        <v>#REF!</v>
      </c>
    </row>
    <row r="276" spans="1:16" x14ac:dyDescent="0.25">
      <c r="A276" s="18"/>
      <c r="B276" s="15"/>
      <c r="K276" t="str">
        <f t="shared" si="10"/>
        <v>Jan-00</v>
      </c>
      <c r="L276">
        <f>HOUR(MedicalData[[#This Row],[Time]])</f>
        <v>0</v>
      </c>
      <c r="M276" t="e">
        <f t="shared" si="9"/>
        <v>#VALUE!</v>
      </c>
      <c r="N276" t="e">
        <f>TEXT(#REF!,"DDD")</f>
        <v>#REF!</v>
      </c>
      <c r="O276" t="e">
        <f>WEEKNUM(#REF!)</f>
        <v>#REF!</v>
      </c>
      <c r="P276" t="e">
        <f>INDEX({"Q3","Q3","Q4","Q4","Q4","Q1","Q1","Q1","Q2","Q2","Q2","Q3"},MONTH(#REF!))</f>
        <v>#REF!</v>
      </c>
    </row>
    <row r="277" spans="1:16" x14ac:dyDescent="0.25">
      <c r="A277" s="18"/>
      <c r="B277" s="15"/>
      <c r="K277" t="str">
        <f t="shared" si="10"/>
        <v>Jan-00</v>
      </c>
      <c r="L277">
        <f>HOUR(MedicalData[[#This Row],[Time]])</f>
        <v>0</v>
      </c>
      <c r="M277" t="e">
        <f t="shared" si="9"/>
        <v>#VALUE!</v>
      </c>
      <c r="N277" t="e">
        <f>TEXT(#REF!,"DDD")</f>
        <v>#REF!</v>
      </c>
      <c r="O277" t="e">
        <f>WEEKNUM(#REF!)</f>
        <v>#REF!</v>
      </c>
      <c r="P277" t="e">
        <f>INDEX({"Q3","Q3","Q4","Q4","Q4","Q1","Q1","Q1","Q2","Q2","Q2","Q3"},MONTH(#REF!))</f>
        <v>#REF!</v>
      </c>
    </row>
    <row r="278" spans="1:16" x14ac:dyDescent="0.25">
      <c r="A278" s="18"/>
      <c r="B278" s="15"/>
      <c r="K278" t="str">
        <f t="shared" si="10"/>
        <v>Jan-00</v>
      </c>
      <c r="L278">
        <f>HOUR(MedicalData[[#This Row],[Time]])</f>
        <v>0</v>
      </c>
      <c r="M278" t="e">
        <f t="shared" si="9"/>
        <v>#VALUE!</v>
      </c>
      <c r="N278" t="e">
        <f>TEXT(#REF!,"DDD")</f>
        <v>#REF!</v>
      </c>
      <c r="O278" t="e">
        <f>WEEKNUM(#REF!)</f>
        <v>#REF!</v>
      </c>
      <c r="P278" t="e">
        <f>INDEX({"Q3","Q3","Q4","Q4","Q4","Q1","Q1","Q1","Q2","Q2","Q2","Q3"},MONTH(#REF!))</f>
        <v>#REF!</v>
      </c>
    </row>
    <row r="279" spans="1:16" x14ac:dyDescent="0.25">
      <c r="A279" s="18"/>
      <c r="B279" s="15"/>
      <c r="K279" t="str">
        <f t="shared" si="10"/>
        <v>Jan-00</v>
      </c>
      <c r="L279">
        <f>HOUR(MedicalData[[#This Row],[Time]])</f>
        <v>0</v>
      </c>
      <c r="M279" t="e">
        <f t="shared" si="9"/>
        <v>#VALUE!</v>
      </c>
      <c r="N279" t="e">
        <f>TEXT(#REF!,"DDD")</f>
        <v>#REF!</v>
      </c>
      <c r="O279" t="e">
        <f>WEEKNUM(#REF!)</f>
        <v>#REF!</v>
      </c>
      <c r="P279" t="e">
        <f>INDEX({"Q3","Q3","Q4","Q4","Q4","Q1","Q1","Q1","Q2","Q2","Q2","Q3"},MONTH(#REF!))</f>
        <v>#REF!</v>
      </c>
    </row>
    <row r="280" spans="1:16" x14ac:dyDescent="0.25">
      <c r="A280" s="18"/>
      <c r="B280" s="15"/>
      <c r="K280" t="str">
        <f t="shared" si="10"/>
        <v>Jan-00</v>
      </c>
      <c r="L280">
        <f>HOUR(MedicalData[[#This Row],[Time]])</f>
        <v>0</v>
      </c>
      <c r="M280" t="e">
        <f t="shared" si="9"/>
        <v>#VALUE!</v>
      </c>
      <c r="N280" t="e">
        <f>TEXT(#REF!,"DDD")</f>
        <v>#REF!</v>
      </c>
      <c r="O280" t="e">
        <f>WEEKNUM(#REF!)</f>
        <v>#REF!</v>
      </c>
      <c r="P280" t="e">
        <f>INDEX({"Q3","Q3","Q4","Q4","Q4","Q1","Q1","Q1","Q2","Q2","Q2","Q3"},MONTH(#REF!))</f>
        <v>#REF!</v>
      </c>
    </row>
    <row r="281" spans="1:16" x14ac:dyDescent="0.25">
      <c r="A281" s="18"/>
      <c r="B281" s="15"/>
      <c r="K281" t="str">
        <f t="shared" si="10"/>
        <v>Jan-00</v>
      </c>
      <c r="L281">
        <f>HOUR(MedicalData[[#This Row],[Time]])</f>
        <v>0</v>
      </c>
      <c r="M281" t="e">
        <f t="shared" si="9"/>
        <v>#VALUE!</v>
      </c>
      <c r="N281" t="e">
        <f>TEXT(#REF!,"DDD")</f>
        <v>#REF!</v>
      </c>
      <c r="O281" t="e">
        <f>WEEKNUM(#REF!)</f>
        <v>#REF!</v>
      </c>
      <c r="P281" t="e">
        <f>INDEX({"Q3","Q3","Q4","Q4","Q4","Q1","Q1","Q1","Q2","Q2","Q2","Q3"},MONTH(#REF!))</f>
        <v>#REF!</v>
      </c>
    </row>
    <row r="282" spans="1:16" x14ac:dyDescent="0.25">
      <c r="A282" s="18"/>
      <c r="B282" s="15"/>
      <c r="K282" t="str">
        <f t="shared" si="10"/>
        <v>Jan-00</v>
      </c>
      <c r="L282">
        <f>HOUR(MedicalData[[#This Row],[Time]])</f>
        <v>0</v>
      </c>
      <c r="M282" t="e">
        <f t="shared" si="9"/>
        <v>#VALUE!</v>
      </c>
      <c r="N282" t="e">
        <f>TEXT(#REF!,"DDD")</f>
        <v>#REF!</v>
      </c>
      <c r="O282" t="e">
        <f>WEEKNUM(#REF!)</f>
        <v>#REF!</v>
      </c>
      <c r="P282" t="e">
        <f>INDEX({"Q3","Q3","Q4","Q4","Q4","Q1","Q1","Q1","Q2","Q2","Q2","Q3"},MONTH(#REF!))</f>
        <v>#REF!</v>
      </c>
    </row>
    <row r="283" spans="1:16" x14ac:dyDescent="0.25">
      <c r="A283" s="18"/>
      <c r="B283" s="15"/>
      <c r="K283" t="str">
        <f t="shared" si="10"/>
        <v>Jan-00</v>
      </c>
      <c r="L283">
        <f>HOUR(MedicalData[[#This Row],[Time]])</f>
        <v>0</v>
      </c>
      <c r="M283" t="e">
        <f t="shared" si="9"/>
        <v>#VALUE!</v>
      </c>
      <c r="N283" t="e">
        <f>TEXT(#REF!,"DDD")</f>
        <v>#REF!</v>
      </c>
      <c r="O283" t="e">
        <f>WEEKNUM(#REF!)</f>
        <v>#REF!</v>
      </c>
      <c r="P283" t="e">
        <f>INDEX({"Q3","Q3","Q4","Q4","Q4","Q1","Q1","Q1","Q2","Q2","Q2","Q3"},MONTH(#REF!))</f>
        <v>#REF!</v>
      </c>
    </row>
    <row r="284" spans="1:16" x14ac:dyDescent="0.25">
      <c r="A284" s="18"/>
      <c r="B284" s="15"/>
      <c r="K284" t="str">
        <f t="shared" si="10"/>
        <v>Jan-00</v>
      </c>
      <c r="L284">
        <f>HOUR(MedicalData[[#This Row],[Time]])</f>
        <v>0</v>
      </c>
      <c r="M284" t="e">
        <f t="shared" si="9"/>
        <v>#VALUE!</v>
      </c>
      <c r="N284" t="e">
        <f>TEXT(#REF!,"DDD")</f>
        <v>#REF!</v>
      </c>
      <c r="O284" t="e">
        <f>WEEKNUM(#REF!)</f>
        <v>#REF!</v>
      </c>
      <c r="P284" t="e">
        <f>INDEX({"Q3","Q3","Q4","Q4","Q4","Q1","Q1","Q1","Q2","Q2","Q2","Q3"},MONTH(#REF!))</f>
        <v>#REF!</v>
      </c>
    </row>
    <row r="285" spans="1:16" x14ac:dyDescent="0.25">
      <c r="A285" s="18"/>
      <c r="B285" s="15"/>
      <c r="K285" t="str">
        <f t="shared" si="10"/>
        <v>Jan-00</v>
      </c>
      <c r="L285">
        <f>HOUR(MedicalData[[#This Row],[Time]])</f>
        <v>0</v>
      </c>
      <c r="M285" t="e">
        <f t="shared" si="9"/>
        <v>#VALUE!</v>
      </c>
      <c r="N285" t="e">
        <f>TEXT(#REF!,"DDD")</f>
        <v>#REF!</v>
      </c>
      <c r="O285" t="e">
        <f>WEEKNUM(#REF!)</f>
        <v>#REF!</v>
      </c>
      <c r="P285" t="e">
        <f>INDEX({"Q3","Q3","Q4","Q4","Q4","Q1","Q1","Q1","Q2","Q2","Q2","Q3"},MONTH(#REF!))</f>
        <v>#REF!</v>
      </c>
    </row>
    <row r="286" spans="1:16" x14ac:dyDescent="0.25">
      <c r="A286" s="18"/>
      <c r="B286" s="15"/>
      <c r="K286" t="str">
        <f t="shared" si="10"/>
        <v>Jan-00</v>
      </c>
      <c r="L286">
        <f>HOUR(MedicalData[[#This Row],[Time]])</f>
        <v>0</v>
      </c>
      <c r="M286" t="e">
        <f t="shared" si="9"/>
        <v>#VALUE!</v>
      </c>
      <c r="N286" t="e">
        <f>TEXT(#REF!,"DDD")</f>
        <v>#REF!</v>
      </c>
      <c r="O286" t="e">
        <f>WEEKNUM(#REF!)</f>
        <v>#REF!</v>
      </c>
      <c r="P286" t="e">
        <f>INDEX({"Q3","Q3","Q4","Q4","Q4","Q1","Q1","Q1","Q2","Q2","Q2","Q3"},MONTH(#REF!))</f>
        <v>#REF!</v>
      </c>
    </row>
    <row r="287" spans="1:16" x14ac:dyDescent="0.25">
      <c r="A287" s="18"/>
      <c r="B287" s="15"/>
      <c r="K287" t="str">
        <f t="shared" si="10"/>
        <v>Jan-00</v>
      </c>
      <c r="L287">
        <f>HOUR(MedicalData[[#This Row],[Time]])</f>
        <v>0</v>
      </c>
      <c r="M287" t="e">
        <f t="shared" si="9"/>
        <v>#VALUE!</v>
      </c>
      <c r="N287" t="e">
        <f>TEXT(#REF!,"DDD")</f>
        <v>#REF!</v>
      </c>
      <c r="O287" t="e">
        <f>WEEKNUM(#REF!)</f>
        <v>#REF!</v>
      </c>
      <c r="P287" t="e">
        <f>INDEX({"Q3","Q3","Q4","Q4","Q4","Q1","Q1","Q1","Q2","Q2","Q2","Q3"},MONTH(#REF!))</f>
        <v>#REF!</v>
      </c>
    </row>
    <row r="288" spans="1:16" x14ac:dyDescent="0.25">
      <c r="A288" s="18"/>
      <c r="B288" s="15"/>
      <c r="K288" t="str">
        <f t="shared" si="10"/>
        <v>Jan-00</v>
      </c>
      <c r="L288">
        <f>HOUR(MedicalData[[#This Row],[Time]])</f>
        <v>0</v>
      </c>
      <c r="M288" t="e">
        <f t="shared" si="9"/>
        <v>#VALUE!</v>
      </c>
      <c r="N288" t="e">
        <f>TEXT(#REF!,"DDD")</f>
        <v>#REF!</v>
      </c>
      <c r="O288" t="e">
        <f>WEEKNUM(#REF!)</f>
        <v>#REF!</v>
      </c>
      <c r="P288" t="e">
        <f>INDEX({"Q3","Q3","Q4","Q4","Q4","Q1","Q1","Q1","Q2","Q2","Q2","Q3"},MONTH(#REF!))</f>
        <v>#REF!</v>
      </c>
    </row>
    <row r="289" spans="1:16" x14ac:dyDescent="0.25">
      <c r="A289" s="18"/>
      <c r="B289" s="15"/>
      <c r="K289" t="str">
        <f t="shared" si="10"/>
        <v>Jan-00</v>
      </c>
      <c r="L289">
        <f>HOUR(MedicalData[[#This Row],[Time]])</f>
        <v>0</v>
      </c>
      <c r="M289" t="e">
        <f t="shared" si="9"/>
        <v>#VALUE!</v>
      </c>
      <c r="N289" t="e">
        <f>TEXT(#REF!,"DDD")</f>
        <v>#REF!</v>
      </c>
      <c r="O289" t="e">
        <f>WEEKNUM(#REF!)</f>
        <v>#REF!</v>
      </c>
      <c r="P289" t="e">
        <f>INDEX({"Q3","Q3","Q4","Q4","Q4","Q1","Q1","Q1","Q2","Q2","Q2","Q3"},MONTH(#REF!))</f>
        <v>#REF!</v>
      </c>
    </row>
    <row r="290" spans="1:16" x14ac:dyDescent="0.25">
      <c r="A290" s="18"/>
      <c r="B290" s="15"/>
      <c r="K290" t="str">
        <f t="shared" si="10"/>
        <v>Jan-00</v>
      </c>
      <c r="L290">
        <f>HOUR(MedicalData[[#This Row],[Time]])</f>
        <v>0</v>
      </c>
      <c r="M290" t="e">
        <f t="shared" si="9"/>
        <v>#VALUE!</v>
      </c>
      <c r="N290" t="e">
        <f>TEXT(#REF!,"DDD")</f>
        <v>#REF!</v>
      </c>
      <c r="O290" t="e">
        <f>WEEKNUM(#REF!)</f>
        <v>#REF!</v>
      </c>
      <c r="P290" t="e">
        <f>INDEX({"Q3","Q3","Q4","Q4","Q4","Q1","Q1","Q1","Q2","Q2","Q2","Q3"},MONTH(#REF!))</f>
        <v>#REF!</v>
      </c>
    </row>
    <row r="291" spans="1:16" x14ac:dyDescent="0.25">
      <c r="A291" s="18"/>
      <c r="B291" s="15"/>
      <c r="K291" t="str">
        <f t="shared" si="10"/>
        <v>Jan-00</v>
      </c>
      <c r="L291">
        <f>HOUR(MedicalData[[#This Row],[Time]])</f>
        <v>0</v>
      </c>
      <c r="M291" t="e">
        <f t="shared" si="9"/>
        <v>#VALUE!</v>
      </c>
      <c r="N291" t="e">
        <f>TEXT(#REF!,"DDD")</f>
        <v>#REF!</v>
      </c>
      <c r="O291" t="e">
        <f>WEEKNUM(#REF!)</f>
        <v>#REF!</v>
      </c>
      <c r="P291" t="e">
        <f>INDEX({"Q3","Q3","Q4","Q4","Q4","Q1","Q1","Q1","Q2","Q2","Q2","Q3"},MONTH(#REF!))</f>
        <v>#REF!</v>
      </c>
    </row>
    <row r="292" spans="1:16" x14ac:dyDescent="0.25">
      <c r="A292" s="18"/>
      <c r="B292" s="15"/>
      <c r="K292" t="str">
        <f t="shared" si="10"/>
        <v>Jan-00</v>
      </c>
      <c r="L292">
        <f>HOUR(MedicalData[[#This Row],[Time]])</f>
        <v>0</v>
      </c>
      <c r="M292" t="e">
        <f t="shared" si="9"/>
        <v>#VALUE!</v>
      </c>
      <c r="N292" t="e">
        <f>TEXT(#REF!,"DDD")</f>
        <v>#REF!</v>
      </c>
      <c r="O292" t="e">
        <f>WEEKNUM(#REF!)</f>
        <v>#REF!</v>
      </c>
      <c r="P292" t="e">
        <f>INDEX({"Q3","Q3","Q4","Q4","Q4","Q1","Q1","Q1","Q2","Q2","Q2","Q3"},MONTH(#REF!))</f>
        <v>#REF!</v>
      </c>
    </row>
    <row r="293" spans="1:16" x14ac:dyDescent="0.25">
      <c r="A293" s="18"/>
      <c r="B293" s="15"/>
      <c r="K293" t="str">
        <f t="shared" si="10"/>
        <v>Jan-00</v>
      </c>
      <c r="L293">
        <f>HOUR(MedicalData[[#This Row],[Time]])</f>
        <v>0</v>
      </c>
      <c r="M293" t="e">
        <f t="shared" si="9"/>
        <v>#VALUE!</v>
      </c>
      <c r="N293" t="e">
        <f>TEXT(#REF!,"DDD")</f>
        <v>#REF!</v>
      </c>
      <c r="O293" t="e">
        <f>WEEKNUM(#REF!)</f>
        <v>#REF!</v>
      </c>
      <c r="P293" t="e">
        <f>INDEX({"Q3","Q3","Q4","Q4","Q4","Q1","Q1","Q1","Q2","Q2","Q2","Q3"},MONTH(#REF!))</f>
        <v>#REF!</v>
      </c>
    </row>
    <row r="294" spans="1:16" x14ac:dyDescent="0.25">
      <c r="A294" s="18"/>
      <c r="B294" s="15"/>
      <c r="K294" t="str">
        <f t="shared" si="10"/>
        <v>Jan-00</v>
      </c>
      <c r="L294">
        <f>HOUR(MedicalData[[#This Row],[Time]])</f>
        <v>0</v>
      </c>
      <c r="M294" t="e">
        <f t="shared" si="9"/>
        <v>#VALUE!</v>
      </c>
      <c r="N294" t="e">
        <f>TEXT(#REF!,"DDD")</f>
        <v>#REF!</v>
      </c>
      <c r="O294" t="e">
        <f>WEEKNUM(#REF!)</f>
        <v>#REF!</v>
      </c>
      <c r="P294" t="e">
        <f>INDEX({"Q3","Q3","Q4","Q4","Q4","Q1","Q1","Q1","Q2","Q2","Q2","Q3"},MONTH(#REF!))</f>
        <v>#REF!</v>
      </c>
    </row>
    <row r="295" spans="1:16" x14ac:dyDescent="0.25">
      <c r="A295" s="18"/>
      <c r="B295" s="15"/>
      <c r="K295" t="str">
        <f t="shared" si="10"/>
        <v>Jan-00</v>
      </c>
      <c r="L295">
        <f>HOUR(MedicalData[[#This Row],[Time]])</f>
        <v>0</v>
      </c>
      <c r="M295" t="e">
        <f t="shared" si="9"/>
        <v>#VALUE!</v>
      </c>
      <c r="N295" t="e">
        <f>TEXT(#REF!,"DDD")</f>
        <v>#REF!</v>
      </c>
      <c r="O295" t="e">
        <f>WEEKNUM(#REF!)</f>
        <v>#REF!</v>
      </c>
      <c r="P295" t="e">
        <f>INDEX({"Q3","Q3","Q4","Q4","Q4","Q1","Q1","Q1","Q2","Q2","Q2","Q3"},MONTH(#REF!))</f>
        <v>#REF!</v>
      </c>
    </row>
    <row r="296" spans="1:16" x14ac:dyDescent="0.25">
      <c r="A296" s="18"/>
      <c r="B296" s="15"/>
      <c r="K296" t="str">
        <f t="shared" si="10"/>
        <v>Jan-00</v>
      </c>
      <c r="L296">
        <f>HOUR(MedicalData[[#This Row],[Time]])</f>
        <v>0</v>
      </c>
      <c r="M296" t="e">
        <f t="shared" si="9"/>
        <v>#VALUE!</v>
      </c>
      <c r="N296" t="e">
        <f>TEXT(#REF!,"DDD")</f>
        <v>#REF!</v>
      </c>
      <c r="O296" t="e">
        <f>WEEKNUM(#REF!)</f>
        <v>#REF!</v>
      </c>
      <c r="P296" t="e">
        <f>INDEX({"Q3","Q3","Q4","Q4","Q4","Q1","Q1","Q1","Q2","Q2","Q2","Q3"},MONTH(#REF!))</f>
        <v>#REF!</v>
      </c>
    </row>
    <row r="297" spans="1:16" x14ac:dyDescent="0.25">
      <c r="A297" s="18"/>
      <c r="B297" s="15"/>
      <c r="K297" t="str">
        <f t="shared" si="10"/>
        <v>Jan-00</v>
      </c>
      <c r="L297">
        <f>HOUR(MedicalData[[#This Row],[Time]])</f>
        <v>0</v>
      </c>
      <c r="M297" t="e">
        <f t="shared" si="9"/>
        <v>#VALUE!</v>
      </c>
      <c r="N297" t="e">
        <f>TEXT(#REF!,"DDD")</f>
        <v>#REF!</v>
      </c>
      <c r="O297" t="e">
        <f>WEEKNUM(#REF!)</f>
        <v>#REF!</v>
      </c>
      <c r="P297" t="e">
        <f>INDEX({"Q3","Q3","Q4","Q4","Q4","Q1","Q1","Q1","Q2","Q2","Q2","Q3"},MONTH(#REF!))</f>
        <v>#REF!</v>
      </c>
    </row>
    <row r="298" spans="1:16" x14ac:dyDescent="0.25">
      <c r="A298" s="18"/>
      <c r="B298" s="15"/>
      <c r="K298" t="str">
        <f t="shared" si="10"/>
        <v>Jan-00</v>
      </c>
      <c r="L298">
        <f>HOUR(MedicalData[[#This Row],[Time]])</f>
        <v>0</v>
      </c>
      <c r="M298" t="e">
        <f t="shared" si="9"/>
        <v>#VALUE!</v>
      </c>
      <c r="N298" t="e">
        <f>TEXT(#REF!,"DDD")</f>
        <v>#REF!</v>
      </c>
      <c r="O298" t="e">
        <f>WEEKNUM(#REF!)</f>
        <v>#REF!</v>
      </c>
      <c r="P298" t="e">
        <f>INDEX({"Q3","Q3","Q4","Q4","Q4","Q1","Q1","Q1","Q2","Q2","Q2","Q3"},MONTH(#REF!))</f>
        <v>#REF!</v>
      </c>
    </row>
    <row r="299" spans="1:16" x14ac:dyDescent="0.25">
      <c r="A299" s="18"/>
      <c r="B299" s="15"/>
      <c r="K299" t="str">
        <f t="shared" si="10"/>
        <v>Jan-00</v>
      </c>
      <c r="L299">
        <f>HOUR(MedicalData[[#This Row],[Time]])</f>
        <v>0</v>
      </c>
      <c r="M299" t="e">
        <f t="shared" si="9"/>
        <v>#VALUE!</v>
      </c>
      <c r="N299" t="e">
        <f>TEXT(#REF!,"DDD")</f>
        <v>#REF!</v>
      </c>
      <c r="O299" t="e">
        <f>WEEKNUM(#REF!)</f>
        <v>#REF!</v>
      </c>
      <c r="P299" t="e">
        <f>INDEX({"Q3","Q3","Q4","Q4","Q4","Q1","Q1","Q1","Q2","Q2","Q2","Q3"},MONTH(#REF!))</f>
        <v>#REF!</v>
      </c>
    </row>
    <row r="300" spans="1:16" x14ac:dyDescent="0.25">
      <c r="A300" s="18"/>
      <c r="B300" s="15"/>
      <c r="K300" t="str">
        <f t="shared" si="10"/>
        <v>Jan-00</v>
      </c>
      <c r="L300">
        <f>HOUR(MedicalData[[#This Row],[Time]])</f>
        <v>0</v>
      </c>
      <c r="M300" t="e">
        <f t="shared" si="9"/>
        <v>#VALUE!</v>
      </c>
      <c r="N300" t="e">
        <f>TEXT(#REF!,"DDD")</f>
        <v>#REF!</v>
      </c>
      <c r="O300" t="e">
        <f>WEEKNUM(#REF!)</f>
        <v>#REF!</v>
      </c>
      <c r="P300" t="e">
        <f>INDEX({"Q3","Q3","Q4","Q4","Q4","Q1","Q1","Q1","Q2","Q2","Q2","Q3"},MONTH(#REF!))</f>
        <v>#REF!</v>
      </c>
    </row>
    <row r="301" spans="1:16" x14ac:dyDescent="0.25">
      <c r="A301" s="18"/>
      <c r="B301" s="15"/>
      <c r="K301" t="str">
        <f t="shared" si="10"/>
        <v>Jan-00</v>
      </c>
      <c r="L301">
        <f>HOUR(MedicalData[[#This Row],[Time]])</f>
        <v>0</v>
      </c>
      <c r="M301" t="e">
        <f t="shared" si="9"/>
        <v>#VALUE!</v>
      </c>
      <c r="N301" t="e">
        <f>TEXT(#REF!,"DDD")</f>
        <v>#REF!</v>
      </c>
      <c r="O301" t="e">
        <f>WEEKNUM(#REF!)</f>
        <v>#REF!</v>
      </c>
      <c r="P301" t="e">
        <f>INDEX({"Q3","Q3","Q4","Q4","Q4","Q1","Q1","Q1","Q2","Q2","Q2","Q3"},MONTH(#REF!))</f>
        <v>#REF!</v>
      </c>
    </row>
    <row r="302" spans="1:16" x14ac:dyDescent="0.25">
      <c r="A302" s="18"/>
      <c r="B302" s="15"/>
      <c r="K302" t="str">
        <f t="shared" si="10"/>
        <v>Jan-00</v>
      </c>
      <c r="L302">
        <f>HOUR(MedicalData[[#This Row],[Time]])</f>
        <v>0</v>
      </c>
      <c r="M302" t="e">
        <f t="shared" si="9"/>
        <v>#VALUE!</v>
      </c>
      <c r="N302" t="e">
        <f>TEXT(#REF!,"DDD")</f>
        <v>#REF!</v>
      </c>
      <c r="O302" t="e">
        <f>WEEKNUM(#REF!)</f>
        <v>#REF!</v>
      </c>
      <c r="P302" t="e">
        <f>INDEX({"Q3","Q3","Q4","Q4","Q4","Q1","Q1","Q1","Q2","Q2","Q2","Q3"},MONTH(#REF!))</f>
        <v>#REF!</v>
      </c>
    </row>
    <row r="303" spans="1:16" x14ac:dyDescent="0.25">
      <c r="A303" s="18"/>
      <c r="B303" s="15"/>
      <c r="K303" t="str">
        <f t="shared" si="10"/>
        <v>Jan-00</v>
      </c>
      <c r="L303">
        <f>HOUR(MedicalData[[#This Row],[Time]])</f>
        <v>0</v>
      </c>
      <c r="M303" t="e">
        <f t="shared" si="9"/>
        <v>#VALUE!</v>
      </c>
      <c r="N303" t="e">
        <f>TEXT(#REF!,"DDD")</f>
        <v>#REF!</v>
      </c>
      <c r="O303" t="e">
        <f>WEEKNUM(#REF!)</f>
        <v>#REF!</v>
      </c>
      <c r="P303" t="e">
        <f>INDEX({"Q3","Q3","Q4","Q4","Q4","Q1","Q1","Q1","Q2","Q2","Q2","Q3"},MONTH(#REF!))</f>
        <v>#REF!</v>
      </c>
    </row>
    <row r="304" spans="1:16" x14ac:dyDescent="0.25">
      <c r="A304" s="18"/>
      <c r="B304" s="15"/>
      <c r="K304" t="str">
        <f t="shared" si="10"/>
        <v>Jan-00</v>
      </c>
      <c r="L304">
        <f>HOUR(MedicalData[[#This Row],[Time]])</f>
        <v>0</v>
      </c>
      <c r="M304" t="e">
        <f t="shared" si="9"/>
        <v>#VALUE!</v>
      </c>
      <c r="N304" t="e">
        <f>TEXT(#REF!,"DDD")</f>
        <v>#REF!</v>
      </c>
      <c r="O304" t="e">
        <f>WEEKNUM(#REF!)</f>
        <v>#REF!</v>
      </c>
      <c r="P304" t="e">
        <f>INDEX({"Q3","Q3","Q4","Q4","Q4","Q1","Q1","Q1","Q2","Q2","Q2","Q3"},MONTH(#REF!))</f>
        <v>#REF!</v>
      </c>
    </row>
    <row r="305" spans="1:16" x14ac:dyDescent="0.25">
      <c r="A305" s="18"/>
      <c r="B305" s="15"/>
      <c r="K305" t="str">
        <f t="shared" si="10"/>
        <v>Jan-00</v>
      </c>
      <c r="L305">
        <f>HOUR(MedicalData[[#This Row],[Time]])</f>
        <v>0</v>
      </c>
      <c r="M305" t="e">
        <f t="shared" si="9"/>
        <v>#VALUE!</v>
      </c>
      <c r="N305" t="e">
        <f>TEXT(#REF!,"DDD")</f>
        <v>#REF!</v>
      </c>
      <c r="O305" t="e">
        <f>WEEKNUM(#REF!)</f>
        <v>#REF!</v>
      </c>
      <c r="P305" t="e">
        <f>INDEX({"Q3","Q3","Q4","Q4","Q4","Q1","Q1","Q1","Q2","Q2","Q2","Q3"},MONTH(#REF!))</f>
        <v>#REF!</v>
      </c>
    </row>
    <row r="306" spans="1:16" x14ac:dyDescent="0.25">
      <c r="A306" s="18"/>
      <c r="B306" s="15"/>
      <c r="K306" t="str">
        <f t="shared" si="10"/>
        <v>Jan-00</v>
      </c>
      <c r="L306">
        <f>HOUR(MedicalData[[#This Row],[Time]])</f>
        <v>0</v>
      </c>
      <c r="M306" t="e">
        <f t="shared" si="9"/>
        <v>#VALUE!</v>
      </c>
      <c r="N306" t="e">
        <f>TEXT(#REF!,"DDD")</f>
        <v>#REF!</v>
      </c>
      <c r="O306" t="e">
        <f>WEEKNUM(#REF!)</f>
        <v>#REF!</v>
      </c>
      <c r="P306" t="e">
        <f>INDEX({"Q3","Q3","Q4","Q4","Q4","Q1","Q1","Q1","Q2","Q2","Q2","Q3"},MONTH(#REF!))</f>
        <v>#REF!</v>
      </c>
    </row>
    <row r="307" spans="1:16" x14ac:dyDescent="0.25">
      <c r="A307" s="18"/>
      <c r="B307" s="15"/>
      <c r="K307" t="str">
        <f t="shared" si="10"/>
        <v>Jan-00</v>
      </c>
      <c r="L307">
        <f>HOUR(MedicalData[[#This Row],[Time]])</f>
        <v>0</v>
      </c>
      <c r="M307" t="e">
        <f t="shared" si="9"/>
        <v>#VALUE!</v>
      </c>
      <c r="N307" t="e">
        <f>TEXT(#REF!,"DDD")</f>
        <v>#REF!</v>
      </c>
      <c r="O307" t="e">
        <f>WEEKNUM(#REF!)</f>
        <v>#REF!</v>
      </c>
      <c r="P307" t="e">
        <f>INDEX({"Q3","Q3","Q4","Q4","Q4","Q1","Q1","Q1","Q2","Q2","Q2","Q3"},MONTH(#REF!))</f>
        <v>#REF!</v>
      </c>
    </row>
    <row r="308" spans="1:16" x14ac:dyDescent="0.25">
      <c r="A308" s="18"/>
      <c r="B308" s="15"/>
      <c r="K308" t="str">
        <f t="shared" si="10"/>
        <v>Jan-00</v>
      </c>
      <c r="L308">
        <f>HOUR(MedicalData[[#This Row],[Time]])</f>
        <v>0</v>
      </c>
      <c r="M308" t="e">
        <f t="shared" si="9"/>
        <v>#VALUE!</v>
      </c>
      <c r="N308" t="e">
        <f>TEXT(#REF!,"DDD")</f>
        <v>#REF!</v>
      </c>
      <c r="O308" t="e">
        <f>WEEKNUM(#REF!)</f>
        <v>#REF!</v>
      </c>
      <c r="P308" t="e">
        <f>INDEX({"Q3","Q3","Q4","Q4","Q4","Q1","Q1","Q1","Q2","Q2","Q2","Q3"},MONTH(#REF!))</f>
        <v>#REF!</v>
      </c>
    </row>
    <row r="309" spans="1:16" x14ac:dyDescent="0.25">
      <c r="A309" s="18"/>
      <c r="B309" s="15"/>
      <c r="K309" t="str">
        <f t="shared" si="10"/>
        <v>Jan-00</v>
      </c>
      <c r="L309">
        <f>HOUR(MedicalData[[#This Row],[Time]])</f>
        <v>0</v>
      </c>
      <c r="M309" t="e">
        <f t="shared" si="9"/>
        <v>#VALUE!</v>
      </c>
      <c r="N309" t="e">
        <f>TEXT(#REF!,"DDD")</f>
        <v>#REF!</v>
      </c>
      <c r="O309" t="e">
        <f>WEEKNUM(#REF!)</f>
        <v>#REF!</v>
      </c>
      <c r="P309" t="e">
        <f>INDEX({"Q3","Q3","Q4","Q4","Q4","Q1","Q1","Q1","Q2","Q2","Q2","Q3"},MONTH(#REF!))</f>
        <v>#REF!</v>
      </c>
    </row>
    <row r="310" spans="1:16" x14ac:dyDescent="0.25">
      <c r="A310" s="18"/>
      <c r="B310" s="15"/>
      <c r="K310" t="str">
        <f t="shared" si="10"/>
        <v>Jan-00</v>
      </c>
      <c r="L310">
        <f>HOUR(MedicalData[[#This Row],[Time]])</f>
        <v>0</v>
      </c>
      <c r="M310" t="e">
        <f t="shared" si="9"/>
        <v>#VALUE!</v>
      </c>
      <c r="N310" t="e">
        <f>TEXT(#REF!,"DDD")</f>
        <v>#REF!</v>
      </c>
      <c r="O310" t="e">
        <f>WEEKNUM(#REF!)</f>
        <v>#REF!</v>
      </c>
      <c r="P310" t="e">
        <f>INDEX({"Q3","Q3","Q4","Q4","Q4","Q1","Q1","Q1","Q2","Q2","Q2","Q3"},MONTH(#REF!))</f>
        <v>#REF!</v>
      </c>
    </row>
    <row r="311" spans="1:16" x14ac:dyDescent="0.25">
      <c r="A311" s="18"/>
      <c r="B311" s="15"/>
      <c r="K311" t="str">
        <f t="shared" si="10"/>
        <v>Jan-00</v>
      </c>
      <c r="L311">
        <f>HOUR(MedicalData[[#This Row],[Time]])</f>
        <v>0</v>
      </c>
      <c r="M311" t="e">
        <f t="shared" si="9"/>
        <v>#VALUE!</v>
      </c>
      <c r="N311" t="e">
        <f>TEXT(#REF!,"DDD")</f>
        <v>#REF!</v>
      </c>
      <c r="O311" t="e">
        <f>WEEKNUM(#REF!)</f>
        <v>#REF!</v>
      </c>
      <c r="P311" t="e">
        <f>INDEX({"Q3","Q3","Q4","Q4","Q4","Q1","Q1","Q1","Q2","Q2","Q2","Q3"},MONTH(#REF!))</f>
        <v>#REF!</v>
      </c>
    </row>
    <row r="312" spans="1:16" x14ac:dyDescent="0.25">
      <c r="A312" s="18"/>
      <c r="B312" s="15"/>
      <c r="K312" t="str">
        <f t="shared" si="10"/>
        <v>Jan-00</v>
      </c>
      <c r="L312">
        <f>HOUR(MedicalData[[#This Row],[Time]])</f>
        <v>0</v>
      </c>
      <c r="M312" t="e">
        <f t="shared" si="9"/>
        <v>#VALUE!</v>
      </c>
      <c r="N312" t="e">
        <f>TEXT(#REF!,"DDD")</f>
        <v>#REF!</v>
      </c>
      <c r="O312" t="e">
        <f>WEEKNUM(#REF!)</f>
        <v>#REF!</v>
      </c>
      <c r="P312" t="e">
        <f>INDEX({"Q3","Q3","Q4","Q4","Q4","Q1","Q1","Q1","Q2","Q2","Q2","Q3"},MONTH(#REF!))</f>
        <v>#REF!</v>
      </c>
    </row>
    <row r="313" spans="1:16" x14ac:dyDescent="0.25">
      <c r="A313" s="18"/>
      <c r="B313" s="15"/>
      <c r="K313" t="str">
        <f t="shared" si="10"/>
        <v>Jan-00</v>
      </c>
      <c r="L313">
        <f>HOUR(MedicalData[[#This Row],[Time]])</f>
        <v>0</v>
      </c>
      <c r="M313" t="e">
        <f t="shared" si="9"/>
        <v>#VALUE!</v>
      </c>
      <c r="N313" t="e">
        <f>TEXT(#REF!,"DDD")</f>
        <v>#REF!</v>
      </c>
      <c r="O313" t="e">
        <f>WEEKNUM(#REF!)</f>
        <v>#REF!</v>
      </c>
      <c r="P313" t="e">
        <f>INDEX({"Q3","Q3","Q4","Q4","Q4","Q1","Q1","Q1","Q2","Q2","Q2","Q3"},MONTH(#REF!))</f>
        <v>#REF!</v>
      </c>
    </row>
    <row r="314" spans="1:16" x14ac:dyDescent="0.25">
      <c r="A314" s="18"/>
      <c r="B314" s="15"/>
      <c r="K314" t="str">
        <f t="shared" si="10"/>
        <v>Jan-00</v>
      </c>
      <c r="L314">
        <f>HOUR(MedicalData[[#This Row],[Time]])</f>
        <v>0</v>
      </c>
      <c r="M314" t="e">
        <f t="shared" si="9"/>
        <v>#VALUE!</v>
      </c>
      <c r="N314" t="e">
        <f>TEXT(#REF!,"DDD")</f>
        <v>#REF!</v>
      </c>
      <c r="O314" t="e">
        <f>WEEKNUM(#REF!)</f>
        <v>#REF!</v>
      </c>
      <c r="P314" t="e">
        <f>INDEX({"Q3","Q3","Q4","Q4","Q4","Q1","Q1","Q1","Q2","Q2","Q2","Q3"},MONTH(#REF!))</f>
        <v>#REF!</v>
      </c>
    </row>
    <row r="315" spans="1:16" x14ac:dyDescent="0.25">
      <c r="A315" s="18"/>
      <c r="B315" s="15"/>
      <c r="K315" t="str">
        <f t="shared" si="10"/>
        <v>Jan-00</v>
      </c>
      <c r="L315">
        <f>HOUR(MedicalData[[#This Row],[Time]])</f>
        <v>0</v>
      </c>
      <c r="M315" t="e">
        <f t="shared" si="9"/>
        <v>#VALUE!</v>
      </c>
      <c r="N315" t="e">
        <f>TEXT(#REF!,"DDD")</f>
        <v>#REF!</v>
      </c>
      <c r="O315" t="e">
        <f>WEEKNUM(#REF!)</f>
        <v>#REF!</v>
      </c>
      <c r="P315" t="e">
        <f>INDEX({"Q3","Q3","Q4","Q4","Q4","Q1","Q1","Q1","Q2","Q2","Q2","Q3"},MONTH(#REF!))</f>
        <v>#REF!</v>
      </c>
    </row>
    <row r="316" spans="1:16" x14ac:dyDescent="0.25">
      <c r="A316" s="18"/>
      <c r="B316" s="15"/>
      <c r="K316" t="str">
        <f t="shared" si="10"/>
        <v>Jan-00</v>
      </c>
      <c r="L316">
        <f>HOUR(MedicalData[[#This Row],[Time]])</f>
        <v>0</v>
      </c>
      <c r="M316" t="e">
        <f t="shared" si="9"/>
        <v>#VALUE!</v>
      </c>
      <c r="N316" t="e">
        <f>TEXT(#REF!,"DDD")</f>
        <v>#REF!</v>
      </c>
      <c r="O316" t="e">
        <f>WEEKNUM(#REF!)</f>
        <v>#REF!</v>
      </c>
      <c r="P316" t="e">
        <f>INDEX({"Q3","Q3","Q4","Q4","Q4","Q1","Q1","Q1","Q2","Q2","Q2","Q3"},MONTH(#REF!))</f>
        <v>#REF!</v>
      </c>
    </row>
    <row r="317" spans="1:16" x14ac:dyDescent="0.25">
      <c r="A317" s="18"/>
      <c r="B317" s="15"/>
      <c r="K317" t="str">
        <f t="shared" si="10"/>
        <v>Jan-00</v>
      </c>
      <c r="L317">
        <f>HOUR(MedicalData[[#This Row],[Time]])</f>
        <v>0</v>
      </c>
      <c r="M317" t="e">
        <f t="shared" si="9"/>
        <v>#VALUE!</v>
      </c>
      <c r="N317" t="e">
        <f>TEXT(#REF!,"DDD")</f>
        <v>#REF!</v>
      </c>
      <c r="O317" t="e">
        <f>WEEKNUM(#REF!)</f>
        <v>#REF!</v>
      </c>
      <c r="P317" t="e">
        <f>INDEX({"Q3","Q3","Q4","Q4","Q4","Q1","Q1","Q1","Q2","Q2","Q2","Q3"},MONTH(#REF!))</f>
        <v>#REF!</v>
      </c>
    </row>
    <row r="318" spans="1:16" x14ac:dyDescent="0.25">
      <c r="A318" s="18"/>
      <c r="B318" s="15"/>
      <c r="K318" t="str">
        <f t="shared" si="10"/>
        <v>Jan-00</v>
      </c>
      <c r="L318">
        <f>HOUR(MedicalData[[#This Row],[Time]])</f>
        <v>0</v>
      </c>
      <c r="M318" t="e">
        <f t="shared" si="9"/>
        <v>#VALUE!</v>
      </c>
      <c r="N318" t="e">
        <f>TEXT(#REF!,"DDD")</f>
        <v>#REF!</v>
      </c>
      <c r="O318" t="e">
        <f>WEEKNUM(#REF!)</f>
        <v>#REF!</v>
      </c>
      <c r="P318" t="e">
        <f>INDEX({"Q3","Q3","Q4","Q4","Q4","Q1","Q1","Q1","Q2","Q2","Q2","Q3"},MONTH(#REF!))</f>
        <v>#REF!</v>
      </c>
    </row>
    <row r="319" spans="1:16" x14ac:dyDescent="0.25">
      <c r="A319" s="18"/>
      <c r="B319" s="15"/>
      <c r="K319" t="str">
        <f t="shared" si="10"/>
        <v>Jan-00</v>
      </c>
      <c r="L319">
        <f>HOUR(MedicalData[[#This Row],[Time]])</f>
        <v>0</v>
      </c>
      <c r="M319" t="e">
        <f t="shared" si="9"/>
        <v>#VALUE!</v>
      </c>
      <c r="N319" t="e">
        <f>TEXT(#REF!,"DDD")</f>
        <v>#REF!</v>
      </c>
      <c r="O319" t="e">
        <f>WEEKNUM(#REF!)</f>
        <v>#REF!</v>
      </c>
      <c r="P319" t="e">
        <f>INDEX({"Q3","Q3","Q4","Q4","Q4","Q1","Q1","Q1","Q2","Q2","Q2","Q3"},MONTH(#REF!))</f>
        <v>#REF!</v>
      </c>
    </row>
    <row r="320" spans="1:16" x14ac:dyDescent="0.25">
      <c r="A320" s="18"/>
      <c r="B320" s="15"/>
      <c r="K320" t="str">
        <f t="shared" si="10"/>
        <v>Jan-00</v>
      </c>
      <c r="L320">
        <f>HOUR(MedicalData[[#This Row],[Time]])</f>
        <v>0</v>
      </c>
      <c r="M320" t="e">
        <f t="shared" si="9"/>
        <v>#VALUE!</v>
      </c>
      <c r="N320" t="e">
        <f>TEXT(#REF!,"DDD")</f>
        <v>#REF!</v>
      </c>
      <c r="O320" t="e">
        <f>WEEKNUM(#REF!)</f>
        <v>#REF!</v>
      </c>
      <c r="P320" t="e">
        <f>INDEX({"Q3","Q3","Q4","Q4","Q4","Q1","Q1","Q1","Q2","Q2","Q2","Q3"},MONTH(#REF!))</f>
        <v>#REF!</v>
      </c>
    </row>
    <row r="321" spans="1:16" x14ac:dyDescent="0.25">
      <c r="A321" s="18"/>
      <c r="B321" s="15"/>
      <c r="K321" t="str">
        <f t="shared" si="10"/>
        <v>Jan-00</v>
      </c>
      <c r="L321">
        <f>HOUR(MedicalData[[#This Row],[Time]])</f>
        <v>0</v>
      </c>
      <c r="M321" t="e">
        <f t="shared" si="9"/>
        <v>#VALUE!</v>
      </c>
      <c r="N321" t="e">
        <f>TEXT(#REF!,"DDD")</f>
        <v>#REF!</v>
      </c>
      <c r="O321" t="e">
        <f>WEEKNUM(#REF!)</f>
        <v>#REF!</v>
      </c>
      <c r="P321" t="e">
        <f>INDEX({"Q3","Q3","Q4","Q4","Q4","Q1","Q1","Q1","Q2","Q2","Q2","Q3"},MONTH(#REF!))</f>
        <v>#REF!</v>
      </c>
    </row>
    <row r="322" spans="1:16" x14ac:dyDescent="0.25">
      <c r="A322" s="18"/>
      <c r="B322" s="15"/>
      <c r="K322" t="str">
        <f t="shared" si="10"/>
        <v>Jan-00</v>
      </c>
      <c r="L322">
        <f>HOUR(MedicalData[[#This Row],[Time]])</f>
        <v>0</v>
      </c>
      <c r="M322" t="e">
        <f t="shared" si="9"/>
        <v>#VALUE!</v>
      </c>
      <c r="N322" t="e">
        <f>TEXT(#REF!,"DDD")</f>
        <v>#REF!</v>
      </c>
      <c r="O322" t="e">
        <f>WEEKNUM(#REF!)</f>
        <v>#REF!</v>
      </c>
      <c r="P322" t="e">
        <f>INDEX({"Q3","Q3","Q4","Q4","Q4","Q1","Q1","Q1","Q2","Q2","Q2","Q3"},MONTH(#REF!))</f>
        <v>#REF!</v>
      </c>
    </row>
    <row r="323" spans="1:16" x14ac:dyDescent="0.25">
      <c r="A323" s="18"/>
      <c r="B323" s="15"/>
      <c r="K323" t="str">
        <f t="shared" si="10"/>
        <v>Jan-00</v>
      </c>
      <c r="L323">
        <f>HOUR(MedicalData[[#This Row],[Time]])</f>
        <v>0</v>
      </c>
      <c r="M323" t="e">
        <f t="shared" ref="M323:M356" si="11" xml:space="preserve">  IF(_xleta.HOUR&lt;6,"Night",IF(_xleta.HOUR&lt;12,"Morning",IF(_xleta.HOUR&lt;18,"Afternoon","Evening")))</f>
        <v>#VALUE!</v>
      </c>
      <c r="N323" t="e">
        <f>TEXT(#REF!,"DDD")</f>
        <v>#REF!</v>
      </c>
      <c r="O323" t="e">
        <f>WEEKNUM(#REF!)</f>
        <v>#REF!</v>
      </c>
      <c r="P323" t="e">
        <f>INDEX({"Q3","Q3","Q4","Q4","Q4","Q1","Q1","Q1","Q2","Q2","Q2","Q3"},MONTH(#REF!))</f>
        <v>#REF!</v>
      </c>
    </row>
    <row r="324" spans="1:16" x14ac:dyDescent="0.25">
      <c r="A324" s="18"/>
      <c r="B324" s="15"/>
      <c r="K324" t="str">
        <f t="shared" si="10"/>
        <v>Jan-00</v>
      </c>
      <c r="L324">
        <f>HOUR(MedicalData[[#This Row],[Time]])</f>
        <v>0</v>
      </c>
      <c r="M324" t="e">
        <f t="shared" si="11"/>
        <v>#VALUE!</v>
      </c>
      <c r="N324" t="e">
        <f>TEXT(#REF!,"DDD")</f>
        <v>#REF!</v>
      </c>
      <c r="O324" t="e">
        <f>WEEKNUM(#REF!)</f>
        <v>#REF!</v>
      </c>
      <c r="P324" t="e">
        <f>INDEX({"Q3","Q3","Q4","Q4","Q4","Q1","Q1","Q1","Q2","Q2","Q2","Q3"},MONTH(#REF!))</f>
        <v>#REF!</v>
      </c>
    </row>
    <row r="325" spans="1:16" x14ac:dyDescent="0.25">
      <c r="A325" s="18"/>
      <c r="B325" s="15"/>
      <c r="K325" t="str">
        <f t="shared" ref="K325:K356" si="12">TEXT(A325,"MMM-YY")</f>
        <v>Jan-00</v>
      </c>
      <c r="L325">
        <f>HOUR(MedicalData[[#This Row],[Time]])</f>
        <v>0</v>
      </c>
      <c r="M325" t="e">
        <f t="shared" si="11"/>
        <v>#VALUE!</v>
      </c>
      <c r="N325" t="e">
        <f>TEXT(#REF!,"DDD")</f>
        <v>#REF!</v>
      </c>
      <c r="O325" t="e">
        <f>WEEKNUM(#REF!)</f>
        <v>#REF!</v>
      </c>
      <c r="P325" t="e">
        <f>INDEX({"Q3","Q3","Q4","Q4","Q4","Q1","Q1","Q1","Q2","Q2","Q2","Q3"},MONTH(#REF!))</f>
        <v>#REF!</v>
      </c>
    </row>
    <row r="326" spans="1:16" x14ac:dyDescent="0.25">
      <c r="A326" s="18"/>
      <c r="B326" s="15"/>
      <c r="K326" t="str">
        <f t="shared" si="12"/>
        <v>Jan-00</v>
      </c>
      <c r="L326">
        <f>HOUR(MedicalData[[#This Row],[Time]])</f>
        <v>0</v>
      </c>
      <c r="M326" t="e">
        <f t="shared" si="11"/>
        <v>#VALUE!</v>
      </c>
      <c r="N326" t="e">
        <f>TEXT(#REF!,"DDD")</f>
        <v>#REF!</v>
      </c>
      <c r="O326" t="e">
        <f>WEEKNUM(#REF!)</f>
        <v>#REF!</v>
      </c>
      <c r="P326" t="e">
        <f>INDEX({"Q3","Q3","Q4","Q4","Q4","Q1","Q1","Q1","Q2","Q2","Q2","Q3"},MONTH(#REF!))</f>
        <v>#REF!</v>
      </c>
    </row>
    <row r="327" spans="1:16" x14ac:dyDescent="0.25">
      <c r="A327" s="18"/>
      <c r="B327" s="15"/>
      <c r="K327" t="str">
        <f t="shared" si="12"/>
        <v>Jan-00</v>
      </c>
      <c r="L327">
        <f>HOUR(MedicalData[[#This Row],[Time]])</f>
        <v>0</v>
      </c>
      <c r="M327" t="e">
        <f t="shared" si="11"/>
        <v>#VALUE!</v>
      </c>
      <c r="N327" t="e">
        <f>TEXT(#REF!,"DDD")</f>
        <v>#REF!</v>
      </c>
      <c r="O327" t="e">
        <f>WEEKNUM(#REF!)</f>
        <v>#REF!</v>
      </c>
      <c r="P327" t="e">
        <f>INDEX({"Q3","Q3","Q4","Q4","Q4","Q1","Q1","Q1","Q2","Q2","Q2","Q3"},MONTH(#REF!))</f>
        <v>#REF!</v>
      </c>
    </row>
    <row r="328" spans="1:16" x14ac:dyDescent="0.25">
      <c r="A328" s="18"/>
      <c r="B328" s="15"/>
      <c r="K328" t="str">
        <f t="shared" si="12"/>
        <v>Jan-00</v>
      </c>
      <c r="L328">
        <f>HOUR(MedicalData[[#This Row],[Time]])</f>
        <v>0</v>
      </c>
      <c r="M328" t="e">
        <f t="shared" si="11"/>
        <v>#VALUE!</v>
      </c>
      <c r="N328" t="e">
        <f>TEXT(#REF!,"DDD")</f>
        <v>#REF!</v>
      </c>
      <c r="O328" t="e">
        <f>WEEKNUM(#REF!)</f>
        <v>#REF!</v>
      </c>
      <c r="P328" t="e">
        <f>INDEX({"Q3","Q3","Q4","Q4","Q4","Q1","Q1","Q1","Q2","Q2","Q2","Q3"},MONTH(#REF!))</f>
        <v>#REF!</v>
      </c>
    </row>
    <row r="329" spans="1:16" x14ac:dyDescent="0.25">
      <c r="A329" s="18"/>
      <c r="B329" s="15"/>
      <c r="K329" t="str">
        <f t="shared" si="12"/>
        <v>Jan-00</v>
      </c>
      <c r="L329">
        <f>HOUR(MedicalData[[#This Row],[Time]])</f>
        <v>0</v>
      </c>
      <c r="M329" t="e">
        <f t="shared" si="11"/>
        <v>#VALUE!</v>
      </c>
      <c r="N329" t="e">
        <f>TEXT(#REF!,"DDD")</f>
        <v>#REF!</v>
      </c>
      <c r="O329" t="e">
        <f>WEEKNUM(#REF!)</f>
        <v>#REF!</v>
      </c>
      <c r="P329" t="e">
        <f>INDEX({"Q3","Q3","Q4","Q4","Q4","Q1","Q1","Q1","Q2","Q2","Q2","Q3"},MONTH(#REF!))</f>
        <v>#REF!</v>
      </c>
    </row>
    <row r="330" spans="1:16" x14ac:dyDescent="0.25">
      <c r="A330" s="18"/>
      <c r="B330" s="15"/>
      <c r="K330" t="str">
        <f t="shared" si="12"/>
        <v>Jan-00</v>
      </c>
      <c r="L330">
        <f>HOUR(MedicalData[[#This Row],[Time]])</f>
        <v>0</v>
      </c>
      <c r="M330" t="e">
        <f t="shared" si="11"/>
        <v>#VALUE!</v>
      </c>
      <c r="N330" t="e">
        <f>TEXT(#REF!,"DDD")</f>
        <v>#REF!</v>
      </c>
      <c r="O330" t="e">
        <f>WEEKNUM(#REF!)</f>
        <v>#REF!</v>
      </c>
      <c r="P330" t="e">
        <f>INDEX({"Q3","Q3","Q4","Q4","Q4","Q1","Q1","Q1","Q2","Q2","Q2","Q3"},MONTH(#REF!))</f>
        <v>#REF!</v>
      </c>
    </row>
    <row r="331" spans="1:16" x14ac:dyDescent="0.25">
      <c r="A331" s="18"/>
      <c r="B331" s="15"/>
      <c r="K331" t="str">
        <f t="shared" si="12"/>
        <v>Jan-00</v>
      </c>
      <c r="L331">
        <f>HOUR(MedicalData[[#This Row],[Time]])</f>
        <v>0</v>
      </c>
      <c r="M331" t="e">
        <f t="shared" si="11"/>
        <v>#VALUE!</v>
      </c>
      <c r="N331" t="e">
        <f>TEXT(#REF!,"DDD")</f>
        <v>#REF!</v>
      </c>
      <c r="O331" t="e">
        <f>WEEKNUM(#REF!)</f>
        <v>#REF!</v>
      </c>
      <c r="P331" t="e">
        <f>INDEX({"Q3","Q3","Q4","Q4","Q4","Q1","Q1","Q1","Q2","Q2","Q2","Q3"},MONTH(#REF!))</f>
        <v>#REF!</v>
      </c>
    </row>
    <row r="332" spans="1:16" x14ac:dyDescent="0.25">
      <c r="A332" s="18"/>
      <c r="B332" s="15"/>
      <c r="K332" t="str">
        <f t="shared" si="12"/>
        <v>Jan-00</v>
      </c>
      <c r="L332">
        <f>HOUR(MedicalData[[#This Row],[Time]])</f>
        <v>0</v>
      </c>
      <c r="M332" t="e">
        <f t="shared" si="11"/>
        <v>#VALUE!</v>
      </c>
      <c r="N332" t="e">
        <f>TEXT(#REF!,"DDD")</f>
        <v>#REF!</v>
      </c>
      <c r="O332" t="e">
        <f>WEEKNUM(#REF!)</f>
        <v>#REF!</v>
      </c>
      <c r="P332" t="e">
        <f>INDEX({"Q3","Q3","Q4","Q4","Q4","Q1","Q1","Q1","Q2","Q2","Q2","Q3"},MONTH(#REF!))</f>
        <v>#REF!</v>
      </c>
    </row>
    <row r="333" spans="1:16" x14ac:dyDescent="0.25">
      <c r="A333" s="18"/>
      <c r="B333" s="15"/>
      <c r="K333" t="str">
        <f t="shared" si="12"/>
        <v>Jan-00</v>
      </c>
      <c r="L333">
        <f>HOUR(MedicalData[[#This Row],[Time]])</f>
        <v>0</v>
      </c>
      <c r="M333" t="e">
        <f t="shared" si="11"/>
        <v>#VALUE!</v>
      </c>
      <c r="N333" t="e">
        <f>TEXT(#REF!,"DDD")</f>
        <v>#REF!</v>
      </c>
      <c r="O333" t="e">
        <f>WEEKNUM(#REF!)</f>
        <v>#REF!</v>
      </c>
      <c r="P333" t="e">
        <f>INDEX({"Q3","Q3","Q4","Q4","Q4","Q1","Q1","Q1","Q2","Q2","Q2","Q3"},MONTH(#REF!))</f>
        <v>#REF!</v>
      </c>
    </row>
    <row r="334" spans="1:16" x14ac:dyDescent="0.25">
      <c r="A334" s="18"/>
      <c r="B334" s="15"/>
      <c r="K334" t="str">
        <f t="shared" si="12"/>
        <v>Jan-00</v>
      </c>
      <c r="L334">
        <f>HOUR(MedicalData[[#This Row],[Time]])</f>
        <v>0</v>
      </c>
      <c r="M334" t="e">
        <f t="shared" si="11"/>
        <v>#VALUE!</v>
      </c>
      <c r="N334" t="e">
        <f>TEXT(#REF!,"DDD")</f>
        <v>#REF!</v>
      </c>
      <c r="O334" t="e">
        <f>WEEKNUM(#REF!)</f>
        <v>#REF!</v>
      </c>
      <c r="P334" t="e">
        <f>INDEX({"Q3","Q3","Q4","Q4","Q4","Q1","Q1","Q1","Q2","Q2","Q2","Q3"},MONTH(#REF!))</f>
        <v>#REF!</v>
      </c>
    </row>
    <row r="335" spans="1:16" x14ac:dyDescent="0.25">
      <c r="A335" s="18"/>
      <c r="B335" s="15"/>
      <c r="K335" t="str">
        <f t="shared" si="12"/>
        <v>Jan-00</v>
      </c>
      <c r="L335">
        <f>HOUR(MedicalData[[#This Row],[Time]])</f>
        <v>0</v>
      </c>
      <c r="M335" t="e">
        <f t="shared" si="11"/>
        <v>#VALUE!</v>
      </c>
      <c r="N335" t="e">
        <f>TEXT(#REF!,"DDD")</f>
        <v>#REF!</v>
      </c>
      <c r="O335" t="e">
        <f>WEEKNUM(#REF!)</f>
        <v>#REF!</v>
      </c>
      <c r="P335" t="e">
        <f>INDEX({"Q3","Q3","Q4","Q4","Q4","Q1","Q1","Q1","Q2","Q2","Q2","Q3"},MONTH(#REF!))</f>
        <v>#REF!</v>
      </c>
    </row>
    <row r="336" spans="1:16" x14ac:dyDescent="0.25">
      <c r="A336" s="18"/>
      <c r="B336" s="15"/>
      <c r="K336" t="str">
        <f t="shared" si="12"/>
        <v>Jan-00</v>
      </c>
      <c r="L336">
        <f>HOUR(MedicalData[[#This Row],[Time]])</f>
        <v>0</v>
      </c>
      <c r="M336" t="e">
        <f t="shared" si="11"/>
        <v>#VALUE!</v>
      </c>
      <c r="N336" t="e">
        <f>TEXT(#REF!,"DDD")</f>
        <v>#REF!</v>
      </c>
      <c r="O336" t="e">
        <f>WEEKNUM(#REF!)</f>
        <v>#REF!</v>
      </c>
      <c r="P336" t="e">
        <f>INDEX({"Q3","Q3","Q4","Q4","Q4","Q1","Q1","Q1","Q2","Q2","Q2","Q3"},MONTH(#REF!))</f>
        <v>#REF!</v>
      </c>
    </row>
    <row r="337" spans="1:16" x14ac:dyDescent="0.25">
      <c r="A337" s="18"/>
      <c r="B337" s="15"/>
      <c r="K337" t="str">
        <f t="shared" si="12"/>
        <v>Jan-00</v>
      </c>
      <c r="L337">
        <f>HOUR(MedicalData[[#This Row],[Time]])</f>
        <v>0</v>
      </c>
      <c r="M337" t="e">
        <f t="shared" si="11"/>
        <v>#VALUE!</v>
      </c>
      <c r="N337" t="e">
        <f>TEXT(#REF!,"DDD")</f>
        <v>#REF!</v>
      </c>
      <c r="O337" t="e">
        <f>WEEKNUM(#REF!)</f>
        <v>#REF!</v>
      </c>
      <c r="P337" t="e">
        <f>INDEX({"Q3","Q3","Q4","Q4","Q4","Q1","Q1","Q1","Q2","Q2","Q2","Q3"},MONTH(#REF!))</f>
        <v>#REF!</v>
      </c>
    </row>
    <row r="338" spans="1:16" x14ac:dyDescent="0.25">
      <c r="A338" s="18"/>
      <c r="B338" s="15"/>
      <c r="K338" t="str">
        <f t="shared" si="12"/>
        <v>Jan-00</v>
      </c>
      <c r="L338">
        <f>HOUR(MedicalData[[#This Row],[Time]])</f>
        <v>0</v>
      </c>
      <c r="M338" t="e">
        <f t="shared" si="11"/>
        <v>#VALUE!</v>
      </c>
      <c r="N338" t="e">
        <f>TEXT(#REF!,"DDD")</f>
        <v>#REF!</v>
      </c>
      <c r="O338" t="e">
        <f>WEEKNUM(#REF!)</f>
        <v>#REF!</v>
      </c>
      <c r="P338" t="e">
        <f>INDEX({"Q3","Q3","Q4","Q4","Q4","Q1","Q1","Q1","Q2","Q2","Q2","Q3"},MONTH(#REF!))</f>
        <v>#REF!</v>
      </c>
    </row>
    <row r="339" spans="1:16" x14ac:dyDescent="0.25">
      <c r="A339" s="18"/>
      <c r="B339" s="15"/>
      <c r="K339" t="str">
        <f t="shared" si="12"/>
        <v>Jan-00</v>
      </c>
      <c r="L339">
        <f>HOUR(MedicalData[[#This Row],[Time]])</f>
        <v>0</v>
      </c>
      <c r="M339" t="e">
        <f t="shared" si="11"/>
        <v>#VALUE!</v>
      </c>
      <c r="N339" t="e">
        <f>TEXT(#REF!,"DDD")</f>
        <v>#REF!</v>
      </c>
      <c r="O339" t="e">
        <f>WEEKNUM(#REF!)</f>
        <v>#REF!</v>
      </c>
      <c r="P339" t="e">
        <f>INDEX({"Q3","Q3","Q4","Q4","Q4","Q1","Q1","Q1","Q2","Q2","Q2","Q3"},MONTH(#REF!))</f>
        <v>#REF!</v>
      </c>
    </row>
    <row r="340" spans="1:16" x14ac:dyDescent="0.25">
      <c r="A340" s="18"/>
      <c r="B340" s="15"/>
      <c r="K340" t="str">
        <f t="shared" si="12"/>
        <v>Jan-00</v>
      </c>
      <c r="L340">
        <f>HOUR(MedicalData[[#This Row],[Time]])</f>
        <v>0</v>
      </c>
      <c r="M340" t="e">
        <f t="shared" si="11"/>
        <v>#VALUE!</v>
      </c>
      <c r="N340" t="e">
        <f>TEXT(#REF!,"DDD")</f>
        <v>#REF!</v>
      </c>
      <c r="O340" t="e">
        <f>WEEKNUM(#REF!)</f>
        <v>#REF!</v>
      </c>
      <c r="P340" t="e">
        <f>INDEX({"Q3","Q3","Q4","Q4","Q4","Q1","Q1","Q1","Q2","Q2","Q2","Q3"},MONTH(#REF!))</f>
        <v>#REF!</v>
      </c>
    </row>
    <row r="341" spans="1:16" x14ac:dyDescent="0.25">
      <c r="A341" s="18"/>
      <c r="B341" s="15"/>
      <c r="K341" t="str">
        <f t="shared" si="12"/>
        <v>Jan-00</v>
      </c>
      <c r="L341">
        <f>HOUR(MedicalData[[#This Row],[Time]])</f>
        <v>0</v>
      </c>
      <c r="M341" t="e">
        <f t="shared" si="11"/>
        <v>#VALUE!</v>
      </c>
      <c r="N341" t="e">
        <f>TEXT(#REF!,"DDD")</f>
        <v>#REF!</v>
      </c>
      <c r="O341" t="e">
        <f>WEEKNUM(#REF!)</f>
        <v>#REF!</v>
      </c>
      <c r="P341" t="e">
        <f>INDEX({"Q3","Q3","Q4","Q4","Q4","Q1","Q1","Q1","Q2","Q2","Q2","Q3"},MONTH(#REF!))</f>
        <v>#REF!</v>
      </c>
    </row>
    <row r="342" spans="1:16" x14ac:dyDescent="0.25">
      <c r="A342" s="18"/>
      <c r="B342" s="15"/>
      <c r="K342" t="str">
        <f t="shared" si="12"/>
        <v>Jan-00</v>
      </c>
      <c r="L342">
        <f>HOUR(MedicalData[[#This Row],[Time]])</f>
        <v>0</v>
      </c>
      <c r="M342" t="e">
        <f t="shared" si="11"/>
        <v>#VALUE!</v>
      </c>
      <c r="N342" t="e">
        <f>TEXT(#REF!,"DDD")</f>
        <v>#REF!</v>
      </c>
      <c r="O342" t="e">
        <f>WEEKNUM(#REF!)</f>
        <v>#REF!</v>
      </c>
      <c r="P342" t="e">
        <f>INDEX({"Q3","Q3","Q4","Q4","Q4","Q1","Q1","Q1","Q2","Q2","Q2","Q3"},MONTH(#REF!))</f>
        <v>#REF!</v>
      </c>
    </row>
    <row r="343" spans="1:16" x14ac:dyDescent="0.25">
      <c r="A343" s="18"/>
      <c r="B343" s="15"/>
      <c r="K343" t="str">
        <f t="shared" si="12"/>
        <v>Jan-00</v>
      </c>
      <c r="L343">
        <f>HOUR(MedicalData[[#This Row],[Time]])</f>
        <v>0</v>
      </c>
      <c r="M343" t="e">
        <f t="shared" si="11"/>
        <v>#VALUE!</v>
      </c>
      <c r="N343" t="e">
        <f>TEXT(#REF!,"DDD")</f>
        <v>#REF!</v>
      </c>
      <c r="O343" t="e">
        <f>WEEKNUM(#REF!)</f>
        <v>#REF!</v>
      </c>
      <c r="P343" t="e">
        <f>INDEX({"Q3","Q3","Q4","Q4","Q4","Q1","Q1","Q1","Q2","Q2","Q2","Q3"},MONTH(#REF!))</f>
        <v>#REF!</v>
      </c>
    </row>
    <row r="344" spans="1:16" x14ac:dyDescent="0.25">
      <c r="A344" s="18"/>
      <c r="B344" s="15"/>
      <c r="K344" t="str">
        <f t="shared" si="12"/>
        <v>Jan-00</v>
      </c>
      <c r="L344">
        <f>HOUR(MedicalData[[#This Row],[Time]])</f>
        <v>0</v>
      </c>
      <c r="M344" t="e">
        <f t="shared" si="11"/>
        <v>#VALUE!</v>
      </c>
      <c r="N344" t="e">
        <f>TEXT(#REF!,"DDD")</f>
        <v>#REF!</v>
      </c>
      <c r="O344" t="e">
        <f>WEEKNUM(#REF!)</f>
        <v>#REF!</v>
      </c>
      <c r="P344" t="e">
        <f>INDEX({"Q3","Q3","Q4","Q4","Q4","Q1","Q1","Q1","Q2","Q2","Q2","Q3"},MONTH(#REF!))</f>
        <v>#REF!</v>
      </c>
    </row>
    <row r="345" spans="1:16" x14ac:dyDescent="0.25">
      <c r="A345" s="18"/>
      <c r="B345" s="15"/>
      <c r="K345" t="str">
        <f t="shared" si="12"/>
        <v>Jan-00</v>
      </c>
      <c r="L345">
        <f>HOUR(MedicalData[[#This Row],[Time]])</f>
        <v>0</v>
      </c>
      <c r="M345" t="e">
        <f t="shared" si="11"/>
        <v>#VALUE!</v>
      </c>
      <c r="N345" t="e">
        <f>TEXT(#REF!,"DDD")</f>
        <v>#REF!</v>
      </c>
      <c r="O345" t="e">
        <f>WEEKNUM(#REF!)</f>
        <v>#REF!</v>
      </c>
      <c r="P345" t="e">
        <f>INDEX({"Q3","Q3","Q4","Q4","Q4","Q1","Q1","Q1","Q2","Q2","Q2","Q3"},MONTH(#REF!))</f>
        <v>#REF!</v>
      </c>
    </row>
    <row r="346" spans="1:16" x14ac:dyDescent="0.25">
      <c r="A346" s="18"/>
      <c r="B346" s="15"/>
      <c r="K346" t="str">
        <f t="shared" si="12"/>
        <v>Jan-00</v>
      </c>
      <c r="L346">
        <f>HOUR(MedicalData[[#This Row],[Time]])</f>
        <v>0</v>
      </c>
      <c r="M346" t="e">
        <f t="shared" si="11"/>
        <v>#VALUE!</v>
      </c>
      <c r="N346" t="e">
        <f>TEXT(#REF!,"DDD")</f>
        <v>#REF!</v>
      </c>
      <c r="O346" t="e">
        <f>WEEKNUM(#REF!)</f>
        <v>#REF!</v>
      </c>
      <c r="P346" t="e">
        <f>INDEX({"Q3","Q3","Q4","Q4","Q4","Q1","Q1","Q1","Q2","Q2","Q2","Q3"},MONTH(#REF!))</f>
        <v>#REF!</v>
      </c>
    </row>
    <row r="347" spans="1:16" x14ac:dyDescent="0.25">
      <c r="A347" s="18"/>
      <c r="B347" s="15"/>
      <c r="K347" t="str">
        <f t="shared" si="12"/>
        <v>Jan-00</v>
      </c>
      <c r="L347">
        <f>HOUR(MedicalData[[#This Row],[Time]])</f>
        <v>0</v>
      </c>
      <c r="M347" t="e">
        <f t="shared" si="11"/>
        <v>#VALUE!</v>
      </c>
      <c r="N347" t="e">
        <f>TEXT(#REF!,"DDD")</f>
        <v>#REF!</v>
      </c>
      <c r="O347" t="e">
        <f>WEEKNUM(#REF!)</f>
        <v>#REF!</v>
      </c>
      <c r="P347" t="e">
        <f>INDEX({"Q3","Q3","Q4","Q4","Q4","Q1","Q1","Q1","Q2","Q2","Q2","Q3"},MONTH(#REF!))</f>
        <v>#REF!</v>
      </c>
    </row>
    <row r="348" spans="1:16" x14ac:dyDescent="0.25">
      <c r="A348" s="18"/>
      <c r="B348" s="15"/>
      <c r="K348" t="str">
        <f t="shared" si="12"/>
        <v>Jan-00</v>
      </c>
      <c r="L348">
        <f>HOUR(MedicalData[[#This Row],[Time]])</f>
        <v>0</v>
      </c>
      <c r="M348" t="e">
        <f t="shared" si="11"/>
        <v>#VALUE!</v>
      </c>
      <c r="N348" t="e">
        <f>TEXT(#REF!,"DDD")</f>
        <v>#REF!</v>
      </c>
      <c r="O348" t="e">
        <f>WEEKNUM(#REF!)</f>
        <v>#REF!</v>
      </c>
      <c r="P348" t="e">
        <f>INDEX({"Q3","Q3","Q4","Q4","Q4","Q1","Q1","Q1","Q2","Q2","Q2","Q3"},MONTH(#REF!))</f>
        <v>#REF!</v>
      </c>
    </row>
    <row r="349" spans="1:16" x14ac:dyDescent="0.25">
      <c r="A349" s="18"/>
      <c r="B349" s="15"/>
      <c r="K349" t="str">
        <f t="shared" si="12"/>
        <v>Jan-00</v>
      </c>
      <c r="L349">
        <f>HOUR(MedicalData[[#This Row],[Time]])</f>
        <v>0</v>
      </c>
      <c r="M349" t="e">
        <f t="shared" si="11"/>
        <v>#VALUE!</v>
      </c>
      <c r="N349" t="e">
        <f>TEXT(#REF!,"DDD")</f>
        <v>#REF!</v>
      </c>
      <c r="O349" t="e">
        <f>WEEKNUM(#REF!)</f>
        <v>#REF!</v>
      </c>
      <c r="P349" t="e">
        <f>INDEX({"Q3","Q3","Q4","Q4","Q4","Q1","Q1","Q1","Q2","Q2","Q2","Q3"},MONTH(#REF!))</f>
        <v>#REF!</v>
      </c>
    </row>
    <row r="350" spans="1:16" x14ac:dyDescent="0.25">
      <c r="A350" s="18"/>
      <c r="B350" s="15"/>
      <c r="K350" t="str">
        <f t="shared" si="12"/>
        <v>Jan-00</v>
      </c>
      <c r="L350">
        <f>HOUR(MedicalData[[#This Row],[Time]])</f>
        <v>0</v>
      </c>
      <c r="M350" t="e">
        <f t="shared" si="11"/>
        <v>#VALUE!</v>
      </c>
      <c r="N350" t="e">
        <f>TEXT(#REF!,"DDD")</f>
        <v>#REF!</v>
      </c>
      <c r="O350" t="e">
        <f>WEEKNUM(#REF!)</f>
        <v>#REF!</v>
      </c>
      <c r="P350" t="e">
        <f>INDEX({"Q3","Q3","Q4","Q4","Q4","Q1","Q1","Q1","Q2","Q2","Q2","Q3"},MONTH(#REF!))</f>
        <v>#REF!</v>
      </c>
    </row>
    <row r="351" spans="1:16" x14ac:dyDescent="0.25">
      <c r="A351" s="18"/>
      <c r="B351" s="15"/>
      <c r="K351" t="str">
        <f t="shared" si="12"/>
        <v>Jan-00</v>
      </c>
      <c r="L351">
        <f>HOUR(MedicalData[[#This Row],[Time]])</f>
        <v>0</v>
      </c>
      <c r="M351" t="e">
        <f t="shared" si="11"/>
        <v>#VALUE!</v>
      </c>
      <c r="N351" t="e">
        <f>TEXT(#REF!,"DDD")</f>
        <v>#REF!</v>
      </c>
      <c r="O351" t="e">
        <f>WEEKNUM(#REF!)</f>
        <v>#REF!</v>
      </c>
      <c r="P351" t="e">
        <f>INDEX({"Q3","Q3","Q4","Q4","Q4","Q1","Q1","Q1","Q2","Q2","Q2","Q3"},MONTH(#REF!))</f>
        <v>#REF!</v>
      </c>
    </row>
    <row r="352" spans="1:16" x14ac:dyDescent="0.25">
      <c r="A352" s="18"/>
      <c r="B352" s="15"/>
      <c r="K352" t="str">
        <f t="shared" si="12"/>
        <v>Jan-00</v>
      </c>
      <c r="L352">
        <f>HOUR(MedicalData[[#This Row],[Time]])</f>
        <v>0</v>
      </c>
      <c r="M352" t="e">
        <f t="shared" si="11"/>
        <v>#VALUE!</v>
      </c>
      <c r="N352" t="e">
        <f>TEXT(#REF!,"DDD")</f>
        <v>#REF!</v>
      </c>
      <c r="O352" t="e">
        <f>WEEKNUM(#REF!)</f>
        <v>#REF!</v>
      </c>
      <c r="P352" t="e">
        <f>INDEX({"Q3","Q3","Q4","Q4","Q4","Q1","Q1","Q1","Q2","Q2","Q2","Q3"},MONTH(#REF!))</f>
        <v>#REF!</v>
      </c>
    </row>
    <row r="353" spans="1:16" x14ac:dyDescent="0.25">
      <c r="A353" s="18"/>
      <c r="B353" s="15"/>
      <c r="K353" t="str">
        <f t="shared" si="12"/>
        <v>Jan-00</v>
      </c>
      <c r="L353">
        <f>HOUR(MedicalData[[#This Row],[Time]])</f>
        <v>0</v>
      </c>
      <c r="M353" t="e">
        <f t="shared" si="11"/>
        <v>#VALUE!</v>
      </c>
      <c r="N353" t="e">
        <f>TEXT(#REF!,"DDD")</f>
        <v>#REF!</v>
      </c>
      <c r="O353" t="e">
        <f>WEEKNUM(#REF!)</f>
        <v>#REF!</v>
      </c>
      <c r="P353" t="e">
        <f>INDEX({"Q3","Q3","Q4","Q4","Q4","Q1","Q1","Q1","Q2","Q2","Q2","Q3"},MONTH(#REF!))</f>
        <v>#REF!</v>
      </c>
    </row>
    <row r="354" spans="1:16" x14ac:dyDescent="0.25">
      <c r="A354" s="18"/>
      <c r="B354" s="15"/>
      <c r="K354" t="str">
        <f t="shared" si="12"/>
        <v>Jan-00</v>
      </c>
      <c r="L354">
        <f>HOUR(MedicalData[[#This Row],[Time]])</f>
        <v>0</v>
      </c>
      <c r="M354" t="e">
        <f t="shared" si="11"/>
        <v>#VALUE!</v>
      </c>
      <c r="N354" t="e">
        <f>TEXT(#REF!,"DDD")</f>
        <v>#REF!</v>
      </c>
      <c r="O354" t="e">
        <f>WEEKNUM(#REF!)</f>
        <v>#REF!</v>
      </c>
      <c r="P354" t="e">
        <f>INDEX({"Q3","Q3","Q4","Q4","Q4","Q1","Q1","Q1","Q2","Q2","Q2","Q3"},MONTH(#REF!))</f>
        <v>#REF!</v>
      </c>
    </row>
    <row r="355" spans="1:16" x14ac:dyDescent="0.25">
      <c r="A355" s="18"/>
      <c r="B355" s="15"/>
      <c r="K355" t="str">
        <f t="shared" si="12"/>
        <v>Jan-00</v>
      </c>
      <c r="L355">
        <f>HOUR(MedicalData[[#This Row],[Time]])</f>
        <v>0</v>
      </c>
      <c r="M355" t="e">
        <f t="shared" si="11"/>
        <v>#VALUE!</v>
      </c>
      <c r="N355" t="e">
        <f>TEXT(#REF!,"DDD")</f>
        <v>#REF!</v>
      </c>
      <c r="O355" t="e">
        <f>WEEKNUM(#REF!)</f>
        <v>#REF!</v>
      </c>
      <c r="P355" t="e">
        <f>INDEX({"Q3","Q3","Q4","Q4","Q4","Q1","Q1","Q1","Q2","Q2","Q2","Q3"},MONTH(#REF!))</f>
        <v>#REF!</v>
      </c>
    </row>
    <row r="356" spans="1:16" x14ac:dyDescent="0.25">
      <c r="A356" s="18"/>
      <c r="B356" s="15"/>
      <c r="K356" t="str">
        <f t="shared" si="12"/>
        <v>Jan-00</v>
      </c>
      <c r="L356">
        <f>HOUR(MedicalData[[#This Row],[Time]])</f>
        <v>0</v>
      </c>
      <c r="M356" t="e">
        <f t="shared" si="11"/>
        <v>#VALUE!</v>
      </c>
      <c r="N356" t="e">
        <f>TEXT(#REF!,"DDD")</f>
        <v>#REF!</v>
      </c>
      <c r="O356" t="e">
        <f>WEEKNUM(#REF!)</f>
        <v>#REF!</v>
      </c>
      <c r="P356" t="e">
        <f>INDEX({"Q3","Q3","Q4","Q4","Q4","Q1","Q1","Q1","Q2","Q2","Q2","Q3"},MONTH(#REF!))</f>
        <v>#REF!</v>
      </c>
    </row>
  </sheetData>
  <phoneticPr fontId="11" type="noConversion"/>
  <dataValidations count="5">
    <dataValidation type="list" allowBlank="1" showInputMessage="1" showErrorMessage="1" sqref="G2:G356" xr:uid="{00000000-0002-0000-0000-000000000000}">
      <formula1>$X$2:$X$22</formula1>
    </dataValidation>
    <dataValidation type="list" allowBlank="1" showInputMessage="1" showErrorMessage="1" sqref="I2:I356" xr:uid="{00000000-0002-0000-0000-000001000000}">
      <formula1>$U$3:$U$6</formula1>
    </dataValidation>
    <dataValidation type="list" allowBlank="1" showInputMessage="1" showErrorMessage="1" sqref="J2:J356" xr:uid="{00000000-0002-0000-0000-000002000000}">
      <formula1>$U$8:$U$9</formula1>
    </dataValidation>
    <dataValidation type="list" allowBlank="1" showInputMessage="1" showErrorMessage="1" sqref="A2:A356" xr:uid="{10F9F596-6E3A-4503-B479-3BB65F8F07C4}">
      <formula1>$W$2:$W$31</formula1>
    </dataValidation>
    <dataValidation type="list" allowBlank="1" showInputMessage="1" showErrorMessage="1" sqref="E2:E356" xr:uid="{22BDEEBD-BCBA-48DD-B95E-04ABBEA3E33A}">
      <formula1>$Z$2:$Z$5</formula1>
    </dataValidation>
  </dataValidation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000-000003000000}">
          <x14:formula1>
            <xm:f>Lists!$A$2:$A$22</xm:f>
          </x14:formula1>
          <xm:sqref>G2:G1048576</xm:sqref>
        </x14:dataValidation>
        <x14:dataValidation type="list" allowBlank="1" showInputMessage="1" showErrorMessage="1" xr:uid="{00000000-0002-0000-0000-000004000000}">
          <x14:formula1>
            <xm:f>Lists!$C$2:$C$5</xm:f>
          </x14:formula1>
          <xm:sqref>I2:I1048576</xm:sqref>
        </x14:dataValidation>
        <x14:dataValidation type="list" allowBlank="1" showInputMessage="1" showErrorMessage="1" xr:uid="{7BF1DCDF-6FFC-4D7E-A72B-C00AF1F7D6F6}">
          <x14:formula1>
            <xm:f>'Mechanism Analysis'!$A$4:$A$24</xm:f>
          </x14:formula1>
          <xm:sqref>D2:D356</xm:sqref>
        </x14:dataValidation>
        <x14:dataValidation type="list" allowBlank="1" showInputMessage="1" showErrorMessage="1" xr:uid="{B253177F-EC41-469D-AB81-68769BCF264D}">
          <x14:formula1>
            <xm:f>'Injury Analysis'!$A$4:$A$23</xm:f>
          </x14:formula1>
          <xm:sqref>H2:H356</xm:sqref>
        </x14:dataValidation>
        <x14:dataValidation type="list" allowBlank="1" showInputMessage="1" showErrorMessage="1" xr:uid="{8C842966-A202-415A-8801-E61C21B4BEA2}">
          <x14:formula1>
            <xm:f>'Venue Analysis'!$A$4:$A$19</xm:f>
          </x14:formula1>
          <xm:sqref>F2:F356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84"/>
  <sheetViews>
    <sheetView showGridLines="0" topLeftCell="A24" workbookViewId="0">
      <selection activeCell="B2" sqref="B2"/>
    </sheetView>
  </sheetViews>
  <sheetFormatPr defaultRowHeight="15" x14ac:dyDescent="0.25"/>
  <cols>
    <col min="1" max="19" width="14" customWidth="1"/>
  </cols>
  <sheetData>
    <row r="1" spans="1:19" ht="36.75" customHeight="1" x14ac:dyDescent="0.25">
      <c r="A1" s="23" t="s">
        <v>203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9" x14ac:dyDescent="0.25">
      <c r="A2" s="1" t="s">
        <v>48</v>
      </c>
      <c r="B2" s="14" t="s">
        <v>99</v>
      </c>
      <c r="D2" s="1" t="s">
        <v>49</v>
      </c>
      <c r="E2" t="str">
        <f>IF(B2="All Time","All Data","Month: "&amp;B2)</f>
        <v>Month: Oct-25</v>
      </c>
    </row>
    <row r="4" spans="1:19" ht="15.75" customHeight="1" x14ac:dyDescent="0.25">
      <c r="A4" s="24" t="s">
        <v>50</v>
      </c>
      <c r="B4" s="25"/>
      <c r="C4" s="25"/>
      <c r="D4" s="26"/>
      <c r="F4" s="27" t="s">
        <v>51</v>
      </c>
      <c r="G4" s="25"/>
      <c r="H4" s="25"/>
      <c r="I4" s="26"/>
      <c r="K4" s="28" t="s">
        <v>52</v>
      </c>
      <c r="L4" s="25"/>
      <c r="M4" s="25"/>
      <c r="N4" s="26"/>
      <c r="P4" s="29" t="s">
        <v>53</v>
      </c>
      <c r="Q4" s="25"/>
      <c r="R4" s="25"/>
      <c r="S4" s="26"/>
    </row>
    <row r="5" spans="1:19" x14ac:dyDescent="0.25">
      <c r="A5" s="2"/>
      <c r="B5" s="2"/>
      <c r="C5" s="2"/>
      <c r="D5" s="2"/>
      <c r="F5" s="3"/>
      <c r="G5" s="3"/>
      <c r="H5" s="3"/>
      <c r="I5" s="3"/>
      <c r="K5" s="4"/>
      <c r="L5" s="4"/>
      <c r="M5" s="4"/>
      <c r="N5" s="4"/>
      <c r="P5" s="5"/>
      <c r="Q5" s="5"/>
      <c r="R5" s="5"/>
      <c r="S5" s="5"/>
    </row>
    <row r="6" spans="1:19" ht="46.5" customHeight="1" x14ac:dyDescent="0.7">
      <c r="A6" s="2"/>
      <c r="B6" s="6">
        <f>IF($B$2="All Time",COUNTA(MedicalData[Date]),COUNTIF(MedicalData[Month],$B$2))</f>
        <v>11</v>
      </c>
      <c r="C6" s="2"/>
      <c r="D6" s="2"/>
      <c r="F6" s="3"/>
      <c r="G6" s="7">
        <f>ROUND(IF($B$2="All Time",AVERAGE(MedicalData[Age]),AVERAGEIF(MedicalData[Month],$B$2,MedicalData[Age])),0)</f>
        <v>18</v>
      </c>
      <c r="H6" s="3"/>
      <c r="I6" s="3"/>
      <c r="K6" s="4"/>
      <c r="L6" s="8">
        <f>IF($B$2="All Time",COUNTIF(MedicalData[Hospital Transportation],"Yes"),COUNTIFS(MedicalData[Hospital Transportation],"Yes",MedicalData[Month],$B$2))</f>
        <v>0</v>
      </c>
      <c r="M6" s="4"/>
      <c r="N6" s="4"/>
      <c r="P6" s="5"/>
      <c r="Q6" s="9" t="str">
        <f>IFERROR(INDEX(MedicalData[Site],MODE(MATCH(MedicalData[Site],MedicalData[Site],0))),"")</f>
        <v/>
      </c>
      <c r="R6" s="5"/>
      <c r="S6" s="5"/>
    </row>
    <row r="7" spans="1:19" ht="18.75" customHeight="1" x14ac:dyDescent="0.3">
      <c r="A7" s="2"/>
      <c r="B7" s="2"/>
      <c r="C7" s="2"/>
      <c r="D7" s="2"/>
      <c r="F7" s="3"/>
      <c r="G7" s="3"/>
      <c r="H7" s="3"/>
      <c r="I7" s="3"/>
      <c r="K7" s="4"/>
      <c r="L7" s="4"/>
      <c r="M7" s="4"/>
      <c r="N7" s="4"/>
      <c r="P7" s="5"/>
      <c r="Q7" s="5"/>
      <c r="R7" s="10" t="str">
        <f>IF(Q6="","",COUNTIF(MedicalData[Site],Q6))</f>
        <v/>
      </c>
      <c r="S7" s="5"/>
    </row>
    <row r="8" spans="1:19" x14ac:dyDescent="0.25">
      <c r="A8" s="2"/>
      <c r="B8" s="2"/>
      <c r="C8" s="2"/>
      <c r="D8" s="2"/>
      <c r="F8" s="3"/>
      <c r="G8" s="3"/>
      <c r="H8" s="3"/>
      <c r="I8" s="3"/>
      <c r="K8" s="4"/>
      <c r="L8" s="4"/>
      <c r="M8" s="4"/>
      <c r="N8" s="4"/>
      <c r="P8" s="5"/>
      <c r="Q8" s="5"/>
      <c r="R8" s="5"/>
      <c r="S8" s="5"/>
    </row>
    <row r="61" spans="1:14" ht="23.25" customHeight="1" x14ac:dyDescent="0.35">
      <c r="A61" s="20" t="s">
        <v>54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</row>
    <row r="63" spans="1:14" x14ac:dyDescent="0.25">
      <c r="A63" t="s">
        <v>55</v>
      </c>
    </row>
    <row r="64" spans="1:14" x14ac:dyDescent="0.25">
      <c r="B64" t="e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>#N/A</v>
      </c>
    </row>
    <row r="66" spans="1:14" x14ac:dyDescent="0.25">
      <c r="A66" t="s">
        <v>56</v>
      </c>
    </row>
    <row r="67" spans="1:14" x14ac:dyDescent="0.25">
      <c r="B67" t="str">
        <f>IF(COUNTIF(MedicalData[Specific injuries treated],"*Ankle*")&gt;=5,"⚠ HIGH: "&amp;COUNTIF(MedicalData[Specific injuries treated],"*Ankle*")&amp;" ankle injuries detected. Implement preventive measures.","✓ Ankle injury rate acceptable")</f>
        <v>✓ Ankle injury rate acceptable</v>
      </c>
    </row>
    <row r="69" spans="1:14" x14ac:dyDescent="0.25">
      <c r="A69" t="s">
        <v>57</v>
      </c>
    </row>
    <row r="70" spans="1:14" x14ac:dyDescent="0.25">
      <c r="B70" t="str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>⚠ ALERT: 12 player-to-player incidents. Review supervision.</v>
      </c>
    </row>
    <row r="72" spans="1:14" x14ac:dyDescent="0.25">
      <c r="A72" t="s">
        <v>58</v>
      </c>
    </row>
    <row r="73" spans="1:14" x14ac:dyDescent="0.25">
      <c r="B73" t="str">
        <f>IF(COUNTIFS(MedicalData[Age],"&lt;18")&gt;=4,"ℹ INFO: "&amp;COUNTIFS(MedicalData[Age],"&lt;18")&amp;" incidents involved minors. Ensure age-appropriate safety.","✓ Minor involvement acceptable")</f>
        <v>ℹ INFO: 15 incidents involved minors. Ensure age-appropriate safety.</v>
      </c>
    </row>
    <row r="76" spans="1:14" ht="21" customHeight="1" x14ac:dyDescent="0.35">
      <c r="A76" s="22" t="s">
        <v>59</v>
      </c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</row>
    <row r="78" spans="1:14" x14ac:dyDescent="0.25">
      <c r="A78" s="1" t="s">
        <v>60</v>
      </c>
      <c r="H78" s="1" t="s">
        <v>61</v>
      </c>
    </row>
    <row r="79" spans="1:14" x14ac:dyDescent="0.25">
      <c r="A79" t="s">
        <v>62</v>
      </c>
      <c r="H79" t="s">
        <v>63</v>
      </c>
    </row>
    <row r="80" spans="1:14" x14ac:dyDescent="0.25">
      <c r="A80" t="s">
        <v>64</v>
      </c>
      <c r="H80" t="s">
        <v>65</v>
      </c>
    </row>
    <row r="81" spans="1:8" x14ac:dyDescent="0.25">
      <c r="A81" t="s">
        <v>66</v>
      </c>
      <c r="H81" t="s">
        <v>67</v>
      </c>
    </row>
    <row r="82" spans="1:8" x14ac:dyDescent="0.25">
      <c r="A82" t="s">
        <v>68</v>
      </c>
      <c r="H82" t="s">
        <v>69</v>
      </c>
    </row>
    <row r="83" spans="1:8" x14ac:dyDescent="0.25">
      <c r="A83" t="s">
        <v>70</v>
      </c>
      <c r="H83" t="s">
        <v>71</v>
      </c>
    </row>
    <row r="84" spans="1:8" x14ac:dyDescent="0.25">
      <c r="A84" t="s">
        <v>72</v>
      </c>
      <c r="H84" t="s">
        <v>73</v>
      </c>
    </row>
  </sheetData>
  <mergeCells count="7">
    <mergeCell ref="A61:N61"/>
    <mergeCell ref="A76:N76"/>
    <mergeCell ref="A1:P1"/>
    <mergeCell ref="A4:D4"/>
    <mergeCell ref="F4:I4"/>
    <mergeCell ref="K4:N4"/>
    <mergeCell ref="P4:S4"/>
  </mergeCell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Lists!$E$1:$E$25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7"/>
  <sheetViews>
    <sheetView workbookViewId="0">
      <selection activeCell="A24" sqref="A24"/>
    </sheetView>
  </sheetViews>
  <sheetFormatPr defaultRowHeight="15" x14ac:dyDescent="0.25"/>
  <cols>
    <col min="1" max="1" width="15" customWidth="1"/>
    <col min="2" max="2" width="14" customWidth="1"/>
    <col min="3" max="3" width="12" customWidth="1"/>
    <col min="4" max="4" width="10" customWidth="1"/>
  </cols>
  <sheetData>
    <row r="1" spans="1:4" ht="21" customHeight="1" x14ac:dyDescent="0.35">
      <c r="A1" s="11" t="s">
        <v>74</v>
      </c>
    </row>
    <row r="3" spans="1:4" x14ac:dyDescent="0.25">
      <c r="A3" s="17" t="s">
        <v>10</v>
      </c>
      <c r="B3" s="17" t="s">
        <v>75</v>
      </c>
      <c r="C3" s="17" t="s">
        <v>76</v>
      </c>
      <c r="D3" s="17" t="s">
        <v>77</v>
      </c>
    </row>
    <row r="4" spans="1:4" x14ac:dyDescent="0.25">
      <c r="A4" s="14" t="s">
        <v>78</v>
      </c>
      <c r="B4">
        <f>COUNTIF(MedicalData[Month],A4)</f>
        <v>0</v>
      </c>
      <c r="C4">
        <f>COUNTIFS(MedicalData[Month],A4,MedicalData[Hospital Transportation],"Yes")</f>
        <v>0</v>
      </c>
      <c r="D4" t="str">
        <f>IFERROR(ROUND(AVERAGEIF(MedicalData[Month],A4,MedicalData[Age]),0),"")</f>
        <v/>
      </c>
    </row>
    <row r="5" spans="1:4" x14ac:dyDescent="0.25">
      <c r="A5" s="14" t="s">
        <v>79</v>
      </c>
      <c r="B5">
        <f>COUNTIF(MedicalData[Month],A5)</f>
        <v>0</v>
      </c>
      <c r="C5">
        <f>COUNTIFS(MedicalData[Month],A5,MedicalData[Hospital Transportation],"Yes")</f>
        <v>0</v>
      </c>
      <c r="D5" t="str">
        <f>IFERROR(ROUND(AVERAGEIF(MedicalData[Month],A5,MedicalData[Age]),0),"")</f>
        <v/>
      </c>
    </row>
    <row r="6" spans="1:4" x14ac:dyDescent="0.25">
      <c r="A6" s="14" t="s">
        <v>80</v>
      </c>
      <c r="B6">
        <f>COUNTIF(MedicalData[Month],A6)</f>
        <v>0</v>
      </c>
      <c r="C6">
        <f>COUNTIFS(MedicalData[Month],A6,MedicalData[Hospital Transportation],"Yes")</f>
        <v>0</v>
      </c>
      <c r="D6" t="str">
        <f>IFERROR(ROUND(AVERAGEIF(MedicalData[Month],A6,MedicalData[Age]),0),"")</f>
        <v/>
      </c>
    </row>
    <row r="7" spans="1:4" x14ac:dyDescent="0.25">
      <c r="A7" s="14" t="s">
        <v>81</v>
      </c>
      <c r="B7">
        <f>COUNTIF(MedicalData[Month],A7)</f>
        <v>0</v>
      </c>
      <c r="C7">
        <f>COUNTIFS(MedicalData[Month],A7,MedicalData[Hospital Transportation],"Yes")</f>
        <v>0</v>
      </c>
      <c r="D7" t="str">
        <f>IFERROR(ROUND(AVERAGEIF(MedicalData[Month],A7,MedicalData[Age]),0),"")</f>
        <v/>
      </c>
    </row>
    <row r="8" spans="1:4" x14ac:dyDescent="0.25">
      <c r="A8" s="14" t="s">
        <v>82</v>
      </c>
      <c r="B8">
        <f>COUNTIF(MedicalData[Month],A8)</f>
        <v>0</v>
      </c>
      <c r="C8">
        <f>COUNTIFS(MedicalData[Month],A8,MedicalData[Hospital Transportation],"Yes")</f>
        <v>0</v>
      </c>
      <c r="D8" t="str">
        <f>IFERROR(ROUND(AVERAGEIF(MedicalData[Month],A8,MedicalData[Age]),0),"")</f>
        <v/>
      </c>
    </row>
    <row r="9" spans="1:4" x14ac:dyDescent="0.25">
      <c r="A9" s="14" t="s">
        <v>83</v>
      </c>
      <c r="B9">
        <f>COUNTIF(MedicalData[Month],A9)</f>
        <v>0</v>
      </c>
      <c r="C9">
        <f>COUNTIFS(MedicalData[Month],A9,MedicalData[Hospital Transportation],"Yes")</f>
        <v>0</v>
      </c>
      <c r="D9" t="str">
        <f>IFERROR(ROUND(AVERAGEIF(MedicalData[Month],A9,MedicalData[Age]),0),"")</f>
        <v/>
      </c>
    </row>
    <row r="10" spans="1:4" x14ac:dyDescent="0.25">
      <c r="A10" s="14" t="s">
        <v>84</v>
      </c>
      <c r="B10">
        <f>COUNTIF(MedicalData[Month],A10)</f>
        <v>0</v>
      </c>
      <c r="C10">
        <f>COUNTIFS(MedicalData[Month],A10,MedicalData[Hospital Transportation],"Yes")</f>
        <v>0</v>
      </c>
      <c r="D10" t="str">
        <f>IFERROR(ROUND(AVERAGEIF(MedicalData[Month],A10,MedicalData[Age]),0),"")</f>
        <v/>
      </c>
    </row>
    <row r="11" spans="1:4" x14ac:dyDescent="0.25">
      <c r="A11" s="14" t="s">
        <v>85</v>
      </c>
      <c r="B11">
        <f>COUNTIF(MedicalData[Month],A11)</f>
        <v>0</v>
      </c>
      <c r="C11">
        <f>COUNTIFS(MedicalData[Month],A11,MedicalData[Hospital Transportation],"Yes")</f>
        <v>0</v>
      </c>
      <c r="D11" t="str">
        <f>IFERROR(ROUND(AVERAGEIF(MedicalData[Month],A11,MedicalData[Age]),0),"")</f>
        <v/>
      </c>
    </row>
    <row r="12" spans="1:4" x14ac:dyDescent="0.25">
      <c r="A12" s="14" t="s">
        <v>86</v>
      </c>
      <c r="B12">
        <f>COUNTIF(MedicalData[Month],A12)</f>
        <v>0</v>
      </c>
      <c r="C12">
        <f>COUNTIFS(MedicalData[Month],A12,MedicalData[Hospital Transportation],"Yes")</f>
        <v>0</v>
      </c>
      <c r="D12" t="str">
        <f>IFERROR(ROUND(AVERAGEIF(MedicalData[Month],A12,MedicalData[Age]),0),"")</f>
        <v/>
      </c>
    </row>
    <row r="13" spans="1:4" x14ac:dyDescent="0.25">
      <c r="A13" s="14" t="s">
        <v>87</v>
      </c>
      <c r="B13">
        <f>COUNTIF(MedicalData[Month],A13)</f>
        <v>0</v>
      </c>
      <c r="C13">
        <f>COUNTIFS(MedicalData[Month],A13,MedicalData[Hospital Transportation],"Yes")</f>
        <v>0</v>
      </c>
      <c r="D13" t="str">
        <f>IFERROR(ROUND(AVERAGEIF(MedicalData[Month],A13,MedicalData[Age]),0),"")</f>
        <v/>
      </c>
    </row>
    <row r="14" spans="1:4" x14ac:dyDescent="0.25">
      <c r="A14" s="14" t="s">
        <v>88</v>
      </c>
      <c r="B14">
        <f>COUNTIF(MedicalData[Month],A14)</f>
        <v>0</v>
      </c>
      <c r="C14">
        <f>COUNTIFS(MedicalData[Month],A14,MedicalData[Hospital Transportation],"Yes")</f>
        <v>0</v>
      </c>
      <c r="D14" t="str">
        <f>IFERROR(ROUND(AVERAGEIF(MedicalData[Month],A14,MedicalData[Age]),0),"")</f>
        <v/>
      </c>
    </row>
    <row r="15" spans="1:4" x14ac:dyDescent="0.25">
      <c r="A15" s="14" t="s">
        <v>89</v>
      </c>
      <c r="B15">
        <f>COUNTIF(MedicalData[Month],A15)</f>
        <v>0</v>
      </c>
      <c r="C15">
        <f>COUNTIFS(MedicalData[Month],A15,MedicalData[Hospital Transportation],"Yes")</f>
        <v>0</v>
      </c>
      <c r="D15" t="str">
        <f>IFERROR(ROUND(AVERAGEIF(MedicalData[Month],A15,MedicalData[Age]),0),"")</f>
        <v/>
      </c>
    </row>
    <row r="16" spans="1:4" x14ac:dyDescent="0.25">
      <c r="A16" t="s">
        <v>90</v>
      </c>
      <c r="B16">
        <f>COUNTIF(MedicalData[Month],A16)</f>
        <v>0</v>
      </c>
      <c r="C16">
        <f>COUNTIFS(MedicalData[Month],A16,MedicalData[Hospital Transportation],"Yes")</f>
        <v>0</v>
      </c>
      <c r="D16" t="str">
        <f>IFERROR(ROUND(AVERAGEIF(MedicalData[Month],A16,MedicalData[Age]),0),"")</f>
        <v/>
      </c>
    </row>
    <row r="17" spans="1:4" x14ac:dyDescent="0.25">
      <c r="A17" t="s">
        <v>91</v>
      </c>
      <c r="B17">
        <f>COUNTIF(MedicalData[Month],A17)</f>
        <v>0</v>
      </c>
      <c r="C17">
        <f>COUNTIFS(MedicalData[Month],A17,MedicalData[Hospital Transportation],"Yes")</f>
        <v>0</v>
      </c>
      <c r="D17" t="str">
        <f>IFERROR(ROUND(AVERAGEIF(MedicalData[Month],A17,MedicalData[Age]),0),"")</f>
        <v/>
      </c>
    </row>
    <row r="18" spans="1:4" x14ac:dyDescent="0.25">
      <c r="A18" t="s">
        <v>92</v>
      </c>
      <c r="B18">
        <f>COUNTIF(MedicalData[Month],A18)</f>
        <v>0</v>
      </c>
      <c r="C18">
        <f>COUNTIFS(MedicalData[Month],A18,MedicalData[Hospital Transportation],"Yes")</f>
        <v>0</v>
      </c>
      <c r="D18" t="str">
        <f>IFERROR(ROUND(AVERAGEIF(MedicalData[Month],A18,MedicalData[Age]),0),"")</f>
        <v/>
      </c>
    </row>
    <row r="19" spans="1:4" x14ac:dyDescent="0.25">
      <c r="A19" t="s">
        <v>93</v>
      </c>
      <c r="B19">
        <f>COUNTIF(MedicalData[Month],A19)</f>
        <v>0</v>
      </c>
      <c r="C19">
        <f>COUNTIFS(MedicalData[Month],A19,MedicalData[Hospital Transportation],"Yes")</f>
        <v>0</v>
      </c>
      <c r="D19" t="str">
        <f>IFERROR(ROUND(AVERAGEIF(MedicalData[Month],A19,MedicalData[Age]),0),"")</f>
        <v/>
      </c>
    </row>
    <row r="20" spans="1:4" x14ac:dyDescent="0.25">
      <c r="A20" t="s">
        <v>94</v>
      </c>
      <c r="B20">
        <f>COUNTIF(MedicalData[Month],A20)</f>
        <v>0</v>
      </c>
      <c r="C20">
        <f>COUNTIFS(MedicalData[Month],A20,MedicalData[Hospital Transportation],"Yes")</f>
        <v>0</v>
      </c>
      <c r="D20" t="str">
        <f>IFERROR(ROUND(AVERAGEIF(MedicalData[Month],A20,MedicalData[Age]),0),"")</f>
        <v/>
      </c>
    </row>
    <row r="21" spans="1:4" x14ac:dyDescent="0.25">
      <c r="A21" t="s">
        <v>95</v>
      </c>
      <c r="B21">
        <f>COUNTIF(MedicalData[Month],A21)</f>
        <v>0</v>
      </c>
      <c r="C21">
        <f>COUNTIFS(MedicalData[Month],A21,MedicalData[Hospital Transportation],"Yes")</f>
        <v>0</v>
      </c>
      <c r="D21" t="str">
        <f>IFERROR(ROUND(AVERAGEIF(MedicalData[Month],A21,MedicalData[Age]),0),"")</f>
        <v/>
      </c>
    </row>
    <row r="22" spans="1:4" x14ac:dyDescent="0.25">
      <c r="A22" t="s">
        <v>96</v>
      </c>
      <c r="B22">
        <f>COUNTIF(MedicalData[Month],A22)</f>
        <v>0</v>
      </c>
      <c r="C22">
        <f>COUNTIFS(MedicalData[Month],A22,MedicalData[Hospital Transportation],"Yes")</f>
        <v>0</v>
      </c>
      <c r="D22" t="str">
        <f>IFERROR(ROUND(AVERAGEIF(MedicalData[Month],A22,MedicalData[Age]),0),"")</f>
        <v/>
      </c>
    </row>
    <row r="23" spans="1:4" x14ac:dyDescent="0.25">
      <c r="A23" t="s">
        <v>97</v>
      </c>
      <c r="B23">
        <f>COUNTIF(MedicalData[Month],A23)</f>
        <v>0</v>
      </c>
      <c r="C23">
        <f>COUNTIFS(MedicalData[Month],A23,MedicalData[Hospital Transportation],"Yes")</f>
        <v>0</v>
      </c>
      <c r="D23" t="str">
        <f>IFERROR(ROUND(AVERAGEIF(MedicalData[Month],A23,MedicalData[Age]),0),"")</f>
        <v/>
      </c>
    </row>
    <row r="24" spans="1:4" x14ac:dyDescent="0.25">
      <c r="A24" t="s">
        <v>98</v>
      </c>
      <c r="B24">
        <f>COUNTIF(MedicalData[Month],A24)</f>
        <v>16</v>
      </c>
      <c r="C24">
        <f>COUNTIFS(MedicalData[Month],A24,MedicalData[Hospital Transportation],"Yes")</f>
        <v>0</v>
      </c>
      <c r="D24">
        <f>IFERROR(ROUND(AVERAGEIF(MedicalData[Month],A24,MedicalData[Age]),0),"")</f>
        <v>17</v>
      </c>
    </row>
    <row r="25" spans="1:4" x14ac:dyDescent="0.25">
      <c r="A25" t="s">
        <v>99</v>
      </c>
      <c r="B25">
        <f>COUNTIF(MedicalData[Month],A25)</f>
        <v>11</v>
      </c>
      <c r="C25">
        <f>COUNTIFS(MedicalData[Month],A25,MedicalData[Hospital Transportation],"Yes")</f>
        <v>0</v>
      </c>
      <c r="D25">
        <f>IFERROR(ROUND(AVERAGEIF(MedicalData[Month],A25,MedicalData[Age]),0),"")</f>
        <v>18</v>
      </c>
    </row>
    <row r="26" spans="1:4" x14ac:dyDescent="0.25">
      <c r="A26" t="s">
        <v>100</v>
      </c>
      <c r="B26">
        <f>COUNTIF(MedicalData[Month],A26)</f>
        <v>0</v>
      </c>
      <c r="C26">
        <f>COUNTIFS(MedicalData[Month],A26,MedicalData[Hospital Transportation],"Yes")</f>
        <v>0</v>
      </c>
      <c r="D26" t="str">
        <f>IFERROR(ROUND(AVERAGEIF(MedicalData[Month],A26,MedicalData[Age]),0),"")</f>
        <v/>
      </c>
    </row>
    <row r="27" spans="1:4" x14ac:dyDescent="0.25">
      <c r="A27" t="s">
        <v>101</v>
      </c>
      <c r="B27">
        <f>COUNTIF(MedicalData[Month],A27)</f>
        <v>0</v>
      </c>
      <c r="C27">
        <f>COUNTIFS(MedicalData[Month],A27,MedicalData[Hospital Transportation],"Yes")</f>
        <v>0</v>
      </c>
      <c r="D27" t="str">
        <f>IFERROR(ROUND(AVERAGEIF(MedicalData[Month],A27,MedicalData[Age]),0),"")</f>
        <v/>
      </c>
    </row>
  </sheetData>
  <dataValidations count="1">
    <dataValidation type="list" allowBlank="1" showInputMessage="1" showErrorMessage="1" sqref="A4:A15" xr:uid="{00000000-0002-0000-0200-000000000000}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9"/>
  <sheetViews>
    <sheetView workbookViewId="0">
      <selection activeCell="E11" sqref="E11"/>
    </sheetView>
  </sheetViews>
  <sheetFormatPr defaultRowHeight="15" x14ac:dyDescent="0.25"/>
  <cols>
    <col min="1" max="1" width="20" customWidth="1"/>
    <col min="2" max="2" width="12" customWidth="1"/>
    <col min="3" max="3" width="14" customWidth="1"/>
    <col min="4" max="4" width="15" customWidth="1"/>
    <col min="5" max="5" width="24" customWidth="1"/>
  </cols>
  <sheetData>
    <row r="1" spans="1:5" ht="18.75" customHeight="1" x14ac:dyDescent="0.3">
      <c r="A1" s="12" t="s">
        <v>102</v>
      </c>
    </row>
    <row r="3" spans="1:5" x14ac:dyDescent="0.25">
      <c r="A3" t="s">
        <v>103</v>
      </c>
      <c r="B3" t="s">
        <v>104</v>
      </c>
      <c r="C3" t="s">
        <v>105</v>
      </c>
      <c r="D3" t="s">
        <v>106</v>
      </c>
      <c r="E3" t="s">
        <v>107</v>
      </c>
    </row>
    <row r="4" spans="1:5" x14ac:dyDescent="0.25">
      <c r="A4" t="s">
        <v>108</v>
      </c>
      <c r="B4">
        <f>COUNTIF(MedicalData[Site],A4)</f>
        <v>2</v>
      </c>
      <c r="C4">
        <f t="shared" ref="C4:C19" si="0">IF(SUM($B$4:$B$8)=0,0,B4/SUM($B$4:$B$8))</f>
        <v>0.22222222222222221</v>
      </c>
      <c r="D4" t="str">
        <f t="shared" ref="D4:D19" si="1">IF(B4&gt;=8,"🔴 HIGH",IF(B4&gt;=5,"🟡 MEDIUM","🟢 LOW"))</f>
        <v>🟢 LOW</v>
      </c>
      <c r="E4" t="str">
        <f t="shared" ref="E4:E19" si="2">IF(B4&gt;=8,"Immediate Action Required",IF(B4&gt;=5,"Monitor Closely","Normal"))</f>
        <v>Normal</v>
      </c>
    </row>
    <row r="5" spans="1:5" x14ac:dyDescent="0.25">
      <c r="A5" t="s">
        <v>19</v>
      </c>
      <c r="B5">
        <f>COUNTIF(MedicalData[Site],A5)</f>
        <v>5</v>
      </c>
      <c r="C5">
        <f t="shared" si="0"/>
        <v>0.55555555555555558</v>
      </c>
      <c r="D5" t="str">
        <f t="shared" si="1"/>
        <v>🟡 MEDIUM</v>
      </c>
      <c r="E5" t="str">
        <f t="shared" si="2"/>
        <v>Monitor Closely</v>
      </c>
    </row>
    <row r="6" spans="1:5" x14ac:dyDescent="0.25">
      <c r="A6" t="s">
        <v>109</v>
      </c>
      <c r="B6">
        <f>COUNTIF(MedicalData[Site],A6)</f>
        <v>1</v>
      </c>
      <c r="C6">
        <f t="shared" si="0"/>
        <v>0.1111111111111111</v>
      </c>
      <c r="D6" t="str">
        <f t="shared" si="1"/>
        <v>🟢 LOW</v>
      </c>
      <c r="E6" t="str">
        <f t="shared" si="2"/>
        <v>Normal</v>
      </c>
    </row>
    <row r="7" spans="1:5" x14ac:dyDescent="0.25">
      <c r="A7" t="s">
        <v>110</v>
      </c>
      <c r="B7">
        <f>COUNTIF(MedicalData[Site],A7)</f>
        <v>1</v>
      </c>
      <c r="C7">
        <f t="shared" si="0"/>
        <v>0.1111111111111111</v>
      </c>
      <c r="D7" t="str">
        <f t="shared" si="1"/>
        <v>🟢 LOW</v>
      </c>
      <c r="E7" t="str">
        <f t="shared" si="2"/>
        <v>Normal</v>
      </c>
    </row>
    <row r="8" spans="1:5" x14ac:dyDescent="0.25">
      <c r="A8" t="s">
        <v>111</v>
      </c>
      <c r="B8">
        <f>COUNTIF(MedicalData[Site],A8)</f>
        <v>0</v>
      </c>
      <c r="C8">
        <f t="shared" si="0"/>
        <v>0</v>
      </c>
      <c r="D8" t="str">
        <f t="shared" si="1"/>
        <v>🟢 LOW</v>
      </c>
      <c r="E8" t="str">
        <f t="shared" si="2"/>
        <v>Normal</v>
      </c>
    </row>
    <row r="9" spans="1:5" x14ac:dyDescent="0.25">
      <c r="A9" t="s">
        <v>112</v>
      </c>
      <c r="B9">
        <f>COUNTIF(MedicalData[Site],A9)</f>
        <v>0</v>
      </c>
      <c r="C9">
        <f t="shared" si="0"/>
        <v>0</v>
      </c>
      <c r="D9" t="str">
        <f t="shared" si="1"/>
        <v>🟢 LOW</v>
      </c>
      <c r="E9" t="str">
        <f t="shared" si="2"/>
        <v>Normal</v>
      </c>
    </row>
    <row r="10" spans="1:5" x14ac:dyDescent="0.25">
      <c r="A10" t="s">
        <v>113</v>
      </c>
      <c r="B10">
        <f>COUNTIF(MedicalData[Site],A10)</f>
        <v>0</v>
      </c>
      <c r="C10">
        <f t="shared" si="0"/>
        <v>0</v>
      </c>
      <c r="D10" t="str">
        <f t="shared" si="1"/>
        <v>🟢 LOW</v>
      </c>
      <c r="E10" t="str">
        <f t="shared" si="2"/>
        <v>Normal</v>
      </c>
    </row>
    <row r="11" spans="1:5" x14ac:dyDescent="0.25">
      <c r="A11" t="s">
        <v>114</v>
      </c>
      <c r="B11">
        <f>COUNTIF(MedicalData[Site],A11)</f>
        <v>15</v>
      </c>
      <c r="C11">
        <f t="shared" si="0"/>
        <v>1.6666666666666667</v>
      </c>
      <c r="D11" t="str">
        <f t="shared" si="1"/>
        <v>🔴 HIGH</v>
      </c>
      <c r="E11" t="str">
        <f t="shared" si="2"/>
        <v>Immediate Action Required</v>
      </c>
    </row>
    <row r="12" spans="1:5" x14ac:dyDescent="0.25">
      <c r="A12" t="s">
        <v>115</v>
      </c>
      <c r="B12">
        <f>COUNTIF(MedicalData[Site],A12)</f>
        <v>1</v>
      </c>
      <c r="C12">
        <f t="shared" si="0"/>
        <v>0.1111111111111111</v>
      </c>
      <c r="D12" t="str">
        <f t="shared" si="1"/>
        <v>🟢 LOW</v>
      </c>
      <c r="E12" t="str">
        <f t="shared" si="2"/>
        <v>Normal</v>
      </c>
    </row>
    <row r="13" spans="1:5" x14ac:dyDescent="0.25">
      <c r="A13" t="s">
        <v>116</v>
      </c>
      <c r="B13">
        <f>COUNTIF(MedicalData[Site],A13)</f>
        <v>0</v>
      </c>
      <c r="C13">
        <f t="shared" si="0"/>
        <v>0</v>
      </c>
      <c r="D13" t="str">
        <f t="shared" si="1"/>
        <v>🟢 LOW</v>
      </c>
      <c r="E13" t="str">
        <f t="shared" si="2"/>
        <v>Normal</v>
      </c>
    </row>
    <row r="14" spans="1:5" x14ac:dyDescent="0.25">
      <c r="A14" t="s">
        <v>117</v>
      </c>
      <c r="B14">
        <f>COUNTIF(MedicalData[Site],A14)</f>
        <v>0</v>
      </c>
      <c r="C14">
        <f t="shared" si="0"/>
        <v>0</v>
      </c>
      <c r="D14" t="str">
        <f t="shared" si="1"/>
        <v>🟢 LOW</v>
      </c>
      <c r="E14" t="str">
        <f t="shared" si="2"/>
        <v>Normal</v>
      </c>
    </row>
    <row r="15" spans="1:5" x14ac:dyDescent="0.25">
      <c r="A15" t="s">
        <v>118</v>
      </c>
      <c r="B15">
        <f>COUNTIF(MedicalData[Site],A15)</f>
        <v>1</v>
      </c>
      <c r="C15">
        <f t="shared" si="0"/>
        <v>0.1111111111111111</v>
      </c>
      <c r="D15" t="str">
        <f t="shared" si="1"/>
        <v>🟢 LOW</v>
      </c>
      <c r="E15" t="str">
        <f t="shared" si="2"/>
        <v>Normal</v>
      </c>
    </row>
    <row r="16" spans="1:5" x14ac:dyDescent="0.25">
      <c r="A16" t="s">
        <v>119</v>
      </c>
      <c r="B16">
        <f>COUNTIF(MedicalData[Site],A16)</f>
        <v>0</v>
      </c>
      <c r="C16">
        <f t="shared" si="0"/>
        <v>0</v>
      </c>
      <c r="D16" t="str">
        <f t="shared" si="1"/>
        <v>🟢 LOW</v>
      </c>
      <c r="E16" t="str">
        <f t="shared" si="2"/>
        <v>Normal</v>
      </c>
    </row>
    <row r="17" spans="1:5" x14ac:dyDescent="0.25">
      <c r="A17" t="s">
        <v>120</v>
      </c>
      <c r="B17">
        <f>COUNTIF(MedicalData[Site],A17)</f>
        <v>1</v>
      </c>
      <c r="C17">
        <f t="shared" si="0"/>
        <v>0.1111111111111111</v>
      </c>
      <c r="D17" t="str">
        <f t="shared" si="1"/>
        <v>🟢 LOW</v>
      </c>
      <c r="E17" t="str">
        <f t="shared" si="2"/>
        <v>Normal</v>
      </c>
    </row>
    <row r="18" spans="1:5" x14ac:dyDescent="0.25">
      <c r="A18" t="s">
        <v>121</v>
      </c>
      <c r="B18">
        <f>COUNTIF(MedicalData[Site],A18)</f>
        <v>0</v>
      </c>
      <c r="C18">
        <f t="shared" si="0"/>
        <v>0</v>
      </c>
      <c r="D18" t="str">
        <f t="shared" si="1"/>
        <v>🟢 LOW</v>
      </c>
      <c r="E18" t="str">
        <f t="shared" si="2"/>
        <v>Normal</v>
      </c>
    </row>
    <row r="19" spans="1:5" x14ac:dyDescent="0.25">
      <c r="A19" t="s">
        <v>122</v>
      </c>
      <c r="B19">
        <f>COUNTIF(MedicalData[Site],A19)</f>
        <v>0</v>
      </c>
      <c r="C19">
        <f t="shared" si="0"/>
        <v>0</v>
      </c>
      <c r="D19" t="str">
        <f t="shared" si="1"/>
        <v>🟢 LOW</v>
      </c>
      <c r="E19" t="str">
        <f t="shared" si="2"/>
        <v>Normal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8"/>
  <sheetViews>
    <sheetView workbookViewId="0">
      <selection activeCell="B4" sqref="B4"/>
    </sheetView>
  </sheetViews>
  <sheetFormatPr defaultRowHeight="15" x14ac:dyDescent="0.25"/>
  <cols>
    <col min="1" max="1" width="18" customWidth="1"/>
    <col min="2" max="2" width="12" customWidth="1"/>
    <col min="3" max="3" width="14" customWidth="1"/>
  </cols>
  <sheetData>
    <row r="1" spans="1:3" ht="18.75" customHeight="1" x14ac:dyDescent="0.3">
      <c r="A1" s="12" t="s">
        <v>123</v>
      </c>
    </row>
    <row r="3" spans="1:3" x14ac:dyDescent="0.25">
      <c r="A3" t="s">
        <v>124</v>
      </c>
      <c r="B3" t="s">
        <v>104</v>
      </c>
      <c r="C3" t="s">
        <v>125</v>
      </c>
    </row>
    <row r="4" spans="1:3" x14ac:dyDescent="0.25">
      <c r="A4" t="s">
        <v>126</v>
      </c>
      <c r="B4">
        <f>COUNTIFS(MedicalData[Age],"&gt;=0",MedicalData[Age],"&lt;=12")</f>
        <v>4</v>
      </c>
      <c r="C4">
        <f>IF(SUM($B$4:$B$8)=0,0,B4/SUM($B$4:$B$8))</f>
        <v>0.14814814814814814</v>
      </c>
    </row>
    <row r="5" spans="1:3" x14ac:dyDescent="0.25">
      <c r="A5" t="s">
        <v>127</v>
      </c>
      <c r="B5">
        <f>COUNTIFS(MedicalData[Age],"&gt;=13",MedicalData[Age],"&lt;=17")</f>
        <v>11</v>
      </c>
      <c r="C5">
        <f>IF(SUM($B$4:$B$8)=0,0,B5/SUM($B$4:$B$8))</f>
        <v>0.40740740740740738</v>
      </c>
    </row>
    <row r="6" spans="1:3" x14ac:dyDescent="0.25">
      <c r="A6" t="s">
        <v>128</v>
      </c>
      <c r="B6">
        <f>COUNTIFS(MedicalData[Age],"&gt;=18",MedicalData[Age],"&lt;=25")</f>
        <v>11</v>
      </c>
      <c r="C6">
        <f>IF(SUM($B$4:$B$8)=0,0,B6/SUM($B$4:$B$8))</f>
        <v>0.40740740740740738</v>
      </c>
    </row>
    <row r="7" spans="1:3" x14ac:dyDescent="0.25">
      <c r="A7" t="s">
        <v>129</v>
      </c>
      <c r="B7">
        <f>COUNTIFS(MedicalData[Age],"&gt;=26",MedicalData[Age],"&lt;=35")</f>
        <v>0</v>
      </c>
      <c r="C7">
        <f>IF(SUM($B$4:$B$8)=0,0,B7/SUM($B$4:$B$8))</f>
        <v>0</v>
      </c>
    </row>
    <row r="8" spans="1:3" x14ac:dyDescent="0.25">
      <c r="A8" t="s">
        <v>130</v>
      </c>
      <c r="B8">
        <f>COUNTIFS(MedicalData[Age],"&gt;=36")</f>
        <v>1</v>
      </c>
      <c r="C8">
        <f>IF(SUM($B$4:$B$8)=0,0,B8/SUM($B$4:$B$8))</f>
        <v>3.7037037037037035E-2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4"/>
  <sheetViews>
    <sheetView workbookViewId="0">
      <selection activeCell="C16" sqref="C16"/>
    </sheetView>
  </sheetViews>
  <sheetFormatPr defaultRowHeight="15" x14ac:dyDescent="0.25"/>
  <cols>
    <col min="1" max="1" width="18" customWidth="1"/>
    <col min="2" max="2" width="12" customWidth="1"/>
    <col min="3" max="3" width="14" customWidth="1"/>
  </cols>
  <sheetData>
    <row r="1" spans="1:3" ht="18.75" customHeight="1" x14ac:dyDescent="0.3">
      <c r="A1" s="12" t="s">
        <v>131</v>
      </c>
    </row>
    <row r="3" spans="1:3" x14ac:dyDescent="0.25">
      <c r="A3" t="s">
        <v>132</v>
      </c>
      <c r="B3" t="s">
        <v>104</v>
      </c>
      <c r="C3" t="s">
        <v>105</v>
      </c>
    </row>
    <row r="4" spans="1:3" x14ac:dyDescent="0.25">
      <c r="A4" t="s">
        <v>133</v>
      </c>
      <c r="B4">
        <f>COUNTIF(MedicalData[Specific injuries treated],"*"&amp;A4&amp;"*")</f>
        <v>0</v>
      </c>
      <c r="C4">
        <f t="shared" ref="C4:C23" si="0">IF(SUM($B$4:$B$13)=0,0,B4/SUM($B$4:$B$13))</f>
        <v>0</v>
      </c>
    </row>
    <row r="5" spans="1:3" x14ac:dyDescent="0.25">
      <c r="A5" t="s">
        <v>134</v>
      </c>
      <c r="B5">
        <f>COUNTIF(MedicalData[Specific injuries treated],"*"&amp;A5&amp;"*")</f>
        <v>0</v>
      </c>
      <c r="C5">
        <f t="shared" si="0"/>
        <v>0</v>
      </c>
    </row>
    <row r="6" spans="1:3" x14ac:dyDescent="0.25">
      <c r="A6" t="s">
        <v>135</v>
      </c>
      <c r="B6">
        <f>COUNTIF(MedicalData[Specific injuries treated],"*"&amp;A6&amp;"*")</f>
        <v>3</v>
      </c>
      <c r="C6">
        <f t="shared" si="0"/>
        <v>0.25</v>
      </c>
    </row>
    <row r="7" spans="1:3" x14ac:dyDescent="0.25">
      <c r="A7" t="s">
        <v>136</v>
      </c>
      <c r="B7">
        <f>COUNTIF(MedicalData[Specific injuries treated],"*"&amp;A7&amp;"*")</f>
        <v>0</v>
      </c>
      <c r="C7">
        <f t="shared" si="0"/>
        <v>0</v>
      </c>
    </row>
    <row r="8" spans="1:3" x14ac:dyDescent="0.25">
      <c r="A8" t="s">
        <v>137</v>
      </c>
      <c r="B8">
        <f>COUNTIF(MedicalData[Specific injuries treated],"*"&amp;A8&amp;"*")</f>
        <v>1</v>
      </c>
      <c r="C8">
        <f t="shared" si="0"/>
        <v>8.3333333333333329E-2</v>
      </c>
    </row>
    <row r="9" spans="1:3" x14ac:dyDescent="0.25">
      <c r="A9" t="s">
        <v>138</v>
      </c>
      <c r="B9">
        <f>COUNTIF(MedicalData[Specific injuries treated],"*"&amp;A9&amp;"*")</f>
        <v>1</v>
      </c>
      <c r="C9">
        <f t="shared" si="0"/>
        <v>8.3333333333333329E-2</v>
      </c>
    </row>
    <row r="10" spans="1:3" x14ac:dyDescent="0.25">
      <c r="A10" t="s">
        <v>139</v>
      </c>
      <c r="B10">
        <f>COUNTIF(MedicalData[Specific injuries treated],"*"&amp;A10&amp;"*")</f>
        <v>2</v>
      </c>
      <c r="C10">
        <f t="shared" si="0"/>
        <v>0.16666666666666666</v>
      </c>
    </row>
    <row r="11" spans="1:3" x14ac:dyDescent="0.25">
      <c r="A11" t="s">
        <v>140</v>
      </c>
      <c r="B11">
        <f>COUNTIF(MedicalData[Specific injuries treated],"*"&amp;A11&amp;"*")</f>
        <v>2</v>
      </c>
      <c r="C11">
        <f t="shared" si="0"/>
        <v>0.16666666666666666</v>
      </c>
    </row>
    <row r="12" spans="1:3" x14ac:dyDescent="0.25">
      <c r="A12" t="s">
        <v>18</v>
      </c>
      <c r="B12">
        <f>COUNTIF(MedicalData[Specific injuries treated],"*"&amp;A12&amp;"*")</f>
        <v>2</v>
      </c>
      <c r="C12">
        <f t="shared" si="0"/>
        <v>0.16666666666666666</v>
      </c>
    </row>
    <row r="13" spans="1:3" x14ac:dyDescent="0.25">
      <c r="A13" t="s">
        <v>141</v>
      </c>
      <c r="B13">
        <f>COUNTIF(MedicalData[Specific injuries treated],"*"&amp;A13&amp;"*")</f>
        <v>1</v>
      </c>
      <c r="C13">
        <f t="shared" si="0"/>
        <v>8.3333333333333329E-2</v>
      </c>
    </row>
    <row r="14" spans="1:3" x14ac:dyDescent="0.25">
      <c r="A14" t="s">
        <v>142</v>
      </c>
      <c r="B14">
        <f>COUNTIF(MedicalData[Specific injuries treated],"*"&amp;A14&amp;"*")</f>
        <v>0</v>
      </c>
      <c r="C14">
        <f t="shared" si="0"/>
        <v>0</v>
      </c>
    </row>
    <row r="15" spans="1:3" x14ac:dyDescent="0.25">
      <c r="A15" t="s">
        <v>143</v>
      </c>
      <c r="B15">
        <f>COUNTIF(MedicalData[Specific injuries treated],"*"&amp;A15&amp;"*")</f>
        <v>0</v>
      </c>
      <c r="C15">
        <f t="shared" si="0"/>
        <v>0</v>
      </c>
    </row>
    <row r="16" spans="1:3" x14ac:dyDescent="0.25">
      <c r="A16" t="s">
        <v>144</v>
      </c>
      <c r="B16">
        <f>COUNTIF(MedicalData[Specific injuries treated],"*"&amp;A16&amp;"*")</f>
        <v>1</v>
      </c>
      <c r="C16">
        <f t="shared" si="0"/>
        <v>8.3333333333333329E-2</v>
      </c>
    </row>
    <row r="17" spans="1:3" x14ac:dyDescent="0.25">
      <c r="A17" t="s">
        <v>145</v>
      </c>
      <c r="B17">
        <f>COUNTIF(MedicalData[Specific injuries treated],"*"&amp;A17&amp;"*")</f>
        <v>0</v>
      </c>
      <c r="C17">
        <f t="shared" si="0"/>
        <v>0</v>
      </c>
    </row>
    <row r="18" spans="1:3" x14ac:dyDescent="0.25">
      <c r="A18" t="s">
        <v>146</v>
      </c>
      <c r="B18">
        <f>COUNTIF(MedicalData[Specific injuries treated],"*"&amp;A18&amp;"*")</f>
        <v>5</v>
      </c>
      <c r="C18">
        <f t="shared" si="0"/>
        <v>0.41666666666666669</v>
      </c>
    </row>
    <row r="19" spans="1:3" x14ac:dyDescent="0.25">
      <c r="A19" t="s">
        <v>147</v>
      </c>
      <c r="B19">
        <f>COUNTIF(MedicalData[Specific injuries treated],"*"&amp;A19&amp;"*")</f>
        <v>4</v>
      </c>
      <c r="C19">
        <f t="shared" si="0"/>
        <v>0.33333333333333331</v>
      </c>
    </row>
    <row r="20" spans="1:3" x14ac:dyDescent="0.25">
      <c r="A20" t="s">
        <v>148</v>
      </c>
      <c r="B20">
        <f>COUNTIF(MedicalData[Specific injuries treated],"*"&amp;A20&amp;"*")</f>
        <v>2</v>
      </c>
      <c r="C20">
        <f t="shared" si="0"/>
        <v>0.16666666666666666</v>
      </c>
    </row>
    <row r="21" spans="1:3" x14ac:dyDescent="0.25">
      <c r="A21" t="s">
        <v>149</v>
      </c>
      <c r="B21">
        <f>COUNTIF(MedicalData[Specific injuries treated],"*"&amp;A21&amp;"*")</f>
        <v>2</v>
      </c>
      <c r="C21">
        <f t="shared" si="0"/>
        <v>0.16666666666666666</v>
      </c>
    </row>
    <row r="22" spans="1:3" x14ac:dyDescent="0.25">
      <c r="A22" t="s">
        <v>150</v>
      </c>
      <c r="B22">
        <f>COUNTIF(MedicalData[Specific injuries treated],"*"&amp;A22&amp;"*")</f>
        <v>0</v>
      </c>
      <c r="C22">
        <f t="shared" si="0"/>
        <v>0</v>
      </c>
    </row>
    <row r="23" spans="1:3" x14ac:dyDescent="0.25">
      <c r="A23" t="s">
        <v>151</v>
      </c>
      <c r="B23">
        <f>COUNTIF(MedicalData[Specific injuries treated],"*"&amp;A23&amp;"*")</f>
        <v>1</v>
      </c>
      <c r="C23">
        <f t="shared" si="0"/>
        <v>8.3333333333333329E-2</v>
      </c>
    </row>
    <row r="24" spans="1:3" ht="17.25" customHeight="1" x14ac:dyDescent="0.3">
      <c r="A24" s="16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4"/>
  <sheetViews>
    <sheetView tabSelected="1" workbookViewId="0">
      <selection activeCell="B24" sqref="B24"/>
    </sheetView>
  </sheetViews>
  <sheetFormatPr defaultRowHeight="15" x14ac:dyDescent="0.25"/>
  <cols>
    <col min="1" max="1" width="26" customWidth="1"/>
    <col min="2" max="2" width="12" customWidth="1"/>
    <col min="3" max="3" width="14" customWidth="1"/>
    <col min="4" max="4" width="20" customWidth="1"/>
  </cols>
  <sheetData>
    <row r="1" spans="1:4" ht="18.75" customHeight="1" x14ac:dyDescent="0.3">
      <c r="A1" s="12" t="s">
        <v>152</v>
      </c>
    </row>
    <row r="3" spans="1:4" x14ac:dyDescent="0.25">
      <c r="A3" t="s">
        <v>153</v>
      </c>
      <c r="B3" t="s">
        <v>104</v>
      </c>
      <c r="C3" t="s">
        <v>105</v>
      </c>
      <c r="D3" t="s">
        <v>154</v>
      </c>
    </row>
    <row r="4" spans="1:4" ht="17.25" customHeight="1" x14ac:dyDescent="0.3">
      <c r="A4" s="16" t="s">
        <v>17</v>
      </c>
      <c r="B4">
        <f>COUNTIF(MedicalData[History/Mechanism of injury],A4)</f>
        <v>12</v>
      </c>
      <c r="C4">
        <f t="shared" ref="C4:C24" si="0">IF(SUM($B$4:$B$10)=0,0,B4/SUM($B$4:$B$10))</f>
        <v>0.46153846153846156</v>
      </c>
      <c r="D4" t="str">
        <f t="shared" ref="D4:D24" si="1">IF(B4&gt;=5,"🔴 HIGH",IF(B4&gt;=3,"🟡 MEDIUM","🟢 LOW"))</f>
        <v>🔴 HIGH</v>
      </c>
    </row>
    <row r="5" spans="1:4" ht="17.25" customHeight="1" x14ac:dyDescent="0.3">
      <c r="A5" s="16" t="s">
        <v>155</v>
      </c>
      <c r="B5">
        <f>COUNTIF(MedicalData[History/Mechanism of injury],A5)</f>
        <v>2</v>
      </c>
      <c r="C5">
        <f t="shared" si="0"/>
        <v>7.6923076923076927E-2</v>
      </c>
      <c r="D5" t="str">
        <f t="shared" si="1"/>
        <v>🟢 LOW</v>
      </c>
    </row>
    <row r="6" spans="1:4" ht="17.25" customHeight="1" x14ac:dyDescent="0.3">
      <c r="A6" s="16" t="s">
        <v>156</v>
      </c>
      <c r="B6">
        <f>COUNTIF(MedicalData[History/Mechanism of injury],A6)</f>
        <v>2</v>
      </c>
      <c r="C6">
        <f t="shared" si="0"/>
        <v>7.6923076923076927E-2</v>
      </c>
      <c r="D6" t="str">
        <f t="shared" si="1"/>
        <v>🟢 LOW</v>
      </c>
    </row>
    <row r="7" spans="1:4" ht="17.25" customHeight="1" x14ac:dyDescent="0.3">
      <c r="A7" s="16" t="s">
        <v>157</v>
      </c>
      <c r="B7">
        <f>COUNTIF(MedicalData[History/Mechanism of injury],A7)</f>
        <v>6</v>
      </c>
      <c r="C7">
        <f t="shared" si="0"/>
        <v>0.23076923076923078</v>
      </c>
      <c r="D7" t="str">
        <f t="shared" si="1"/>
        <v>🔴 HIGH</v>
      </c>
    </row>
    <row r="8" spans="1:4" ht="17.25" customHeight="1" x14ac:dyDescent="0.3">
      <c r="A8" s="16" t="s">
        <v>158</v>
      </c>
      <c r="B8">
        <f>COUNTIF(MedicalData[History/Mechanism of injury],A8)</f>
        <v>0</v>
      </c>
      <c r="C8">
        <f t="shared" si="0"/>
        <v>0</v>
      </c>
      <c r="D8" t="str">
        <f t="shared" si="1"/>
        <v>🟢 LOW</v>
      </c>
    </row>
    <row r="9" spans="1:4" ht="17.25" customHeight="1" x14ac:dyDescent="0.3">
      <c r="A9" s="16" t="s">
        <v>159</v>
      </c>
      <c r="B9">
        <f>COUNTIF(MedicalData[History/Mechanism of injury],A9)</f>
        <v>4</v>
      </c>
      <c r="C9">
        <f t="shared" si="0"/>
        <v>0.15384615384615385</v>
      </c>
      <c r="D9" t="str">
        <f t="shared" si="1"/>
        <v>🟡 MEDIUM</v>
      </c>
    </row>
    <row r="10" spans="1:4" ht="17.25" customHeight="1" x14ac:dyDescent="0.3">
      <c r="A10" s="16" t="s">
        <v>160</v>
      </c>
      <c r="B10">
        <f>COUNTIF(MedicalData[History/Mechanism of injury],A10)</f>
        <v>0</v>
      </c>
      <c r="C10">
        <f t="shared" si="0"/>
        <v>0</v>
      </c>
      <c r="D10" t="str">
        <f t="shared" si="1"/>
        <v>🟢 LOW</v>
      </c>
    </row>
    <row r="11" spans="1:4" ht="17.25" customHeight="1" x14ac:dyDescent="0.3">
      <c r="A11" s="16" t="s">
        <v>161</v>
      </c>
      <c r="B11">
        <f>COUNTIF(MedicalData[History/Mechanism of injury],A11)</f>
        <v>0</v>
      </c>
      <c r="C11">
        <f t="shared" si="0"/>
        <v>0</v>
      </c>
      <c r="D11" t="str">
        <f t="shared" si="1"/>
        <v>🟢 LOW</v>
      </c>
    </row>
    <row r="12" spans="1:4" ht="17.25" customHeight="1" x14ac:dyDescent="0.3">
      <c r="A12" s="16" t="s">
        <v>162</v>
      </c>
      <c r="B12">
        <f>COUNTIF(MedicalData[History/Mechanism of injury],A12)</f>
        <v>0</v>
      </c>
      <c r="C12">
        <f t="shared" si="0"/>
        <v>0</v>
      </c>
      <c r="D12" t="str">
        <f t="shared" si="1"/>
        <v>🟢 LOW</v>
      </c>
    </row>
    <row r="13" spans="1:4" ht="17.25" customHeight="1" x14ac:dyDescent="0.3">
      <c r="A13" s="16" t="s">
        <v>163</v>
      </c>
      <c r="B13">
        <f>COUNTIF(MedicalData[History/Mechanism of injury],A13)</f>
        <v>0</v>
      </c>
      <c r="C13">
        <f t="shared" si="0"/>
        <v>0</v>
      </c>
      <c r="D13" t="str">
        <f t="shared" si="1"/>
        <v>🟢 LOW</v>
      </c>
    </row>
    <row r="14" spans="1:4" ht="17.25" customHeight="1" x14ac:dyDescent="0.3">
      <c r="A14" s="16" t="s">
        <v>164</v>
      </c>
      <c r="B14">
        <f>COUNTIF(MedicalData[History/Mechanism of injury],A14)</f>
        <v>0</v>
      </c>
      <c r="C14">
        <f t="shared" si="0"/>
        <v>0</v>
      </c>
      <c r="D14" t="str">
        <f t="shared" si="1"/>
        <v>🟢 LOW</v>
      </c>
    </row>
    <row r="15" spans="1:4" ht="17.25" customHeight="1" x14ac:dyDescent="0.3">
      <c r="A15" s="16" t="s">
        <v>165</v>
      </c>
      <c r="B15">
        <f>COUNTIF(MedicalData[History/Mechanism of injury],A15)</f>
        <v>0</v>
      </c>
      <c r="C15">
        <f t="shared" si="0"/>
        <v>0</v>
      </c>
      <c r="D15" t="str">
        <f t="shared" si="1"/>
        <v>🟢 LOW</v>
      </c>
    </row>
    <row r="16" spans="1:4" ht="17.25" customHeight="1" x14ac:dyDescent="0.3">
      <c r="A16" s="16" t="s">
        <v>166</v>
      </c>
      <c r="B16">
        <f>COUNTIF(MedicalData[History/Mechanism of injury],A16)</f>
        <v>0</v>
      </c>
      <c r="C16">
        <f t="shared" si="0"/>
        <v>0</v>
      </c>
      <c r="D16" t="str">
        <f t="shared" si="1"/>
        <v>🟢 LOW</v>
      </c>
    </row>
    <row r="17" spans="1:4" ht="17.25" customHeight="1" x14ac:dyDescent="0.3">
      <c r="A17" s="16" t="s">
        <v>167</v>
      </c>
      <c r="B17">
        <f>COUNTIF(MedicalData[History/Mechanism of injury],A17)</f>
        <v>0</v>
      </c>
      <c r="C17">
        <f t="shared" si="0"/>
        <v>0</v>
      </c>
      <c r="D17" t="str">
        <f t="shared" si="1"/>
        <v>🟢 LOW</v>
      </c>
    </row>
    <row r="18" spans="1:4" ht="17.25" customHeight="1" x14ac:dyDescent="0.3">
      <c r="A18" s="16" t="s">
        <v>168</v>
      </c>
      <c r="B18">
        <f>COUNTIF(MedicalData[History/Mechanism of injury],A18)</f>
        <v>0</v>
      </c>
      <c r="C18">
        <f t="shared" si="0"/>
        <v>0</v>
      </c>
      <c r="D18" t="str">
        <f t="shared" si="1"/>
        <v>🟢 LOW</v>
      </c>
    </row>
    <row r="19" spans="1:4" ht="17.25" customHeight="1" x14ac:dyDescent="0.3">
      <c r="A19" s="16" t="s">
        <v>169</v>
      </c>
      <c r="B19">
        <f>COUNTIF(MedicalData[History/Mechanism of injury],A19)</f>
        <v>0</v>
      </c>
      <c r="C19">
        <f t="shared" si="0"/>
        <v>0</v>
      </c>
      <c r="D19" t="str">
        <f t="shared" si="1"/>
        <v>🟢 LOW</v>
      </c>
    </row>
    <row r="20" spans="1:4" ht="17.25" customHeight="1" x14ac:dyDescent="0.3">
      <c r="A20" s="16" t="s">
        <v>170</v>
      </c>
      <c r="B20">
        <f>COUNTIF(MedicalData[History/Mechanism of injury],A20)</f>
        <v>0</v>
      </c>
      <c r="C20">
        <f t="shared" si="0"/>
        <v>0</v>
      </c>
      <c r="D20" t="str">
        <f t="shared" si="1"/>
        <v>🟢 LOW</v>
      </c>
    </row>
    <row r="21" spans="1:4" ht="17.25" customHeight="1" x14ac:dyDescent="0.3">
      <c r="A21" s="16" t="s">
        <v>171</v>
      </c>
      <c r="B21">
        <f>COUNTIF(MedicalData[History/Mechanism of injury],A21)</f>
        <v>0</v>
      </c>
      <c r="C21">
        <f t="shared" si="0"/>
        <v>0</v>
      </c>
      <c r="D21" t="str">
        <f t="shared" si="1"/>
        <v>🟢 LOW</v>
      </c>
    </row>
    <row r="22" spans="1:4" ht="17.25" customHeight="1" x14ac:dyDescent="0.3">
      <c r="A22" s="16" t="s">
        <v>172</v>
      </c>
      <c r="B22">
        <f>COUNTIF(MedicalData[History/Mechanism of injury],A22)</f>
        <v>0</v>
      </c>
      <c r="C22">
        <f t="shared" si="0"/>
        <v>0</v>
      </c>
      <c r="D22" t="str">
        <f t="shared" si="1"/>
        <v>🟢 LOW</v>
      </c>
    </row>
    <row r="23" spans="1:4" ht="17.25" customHeight="1" x14ac:dyDescent="0.3">
      <c r="A23" s="16" t="s">
        <v>173</v>
      </c>
      <c r="B23">
        <f>COUNTIF(MedicalData[History/Mechanism of injury],A23)</f>
        <v>0</v>
      </c>
      <c r="C23">
        <f t="shared" si="0"/>
        <v>0</v>
      </c>
      <c r="D23" t="str">
        <f t="shared" si="1"/>
        <v>🟢 LOW</v>
      </c>
    </row>
    <row r="24" spans="1:4" ht="17.25" customHeight="1" x14ac:dyDescent="0.3">
      <c r="A24" s="16" t="s">
        <v>174</v>
      </c>
      <c r="B24">
        <f>COUNTIF(MedicalData[History/Mechanism of injury],A24)</f>
        <v>1</v>
      </c>
      <c r="C24">
        <f t="shared" si="0"/>
        <v>3.8461538461538464E-2</v>
      </c>
      <c r="D24" t="str">
        <f t="shared" si="1"/>
        <v>🟢 LOW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topLeftCell="A3" workbookViewId="0">
      <selection activeCell="C13" sqref="C13"/>
    </sheetView>
  </sheetViews>
  <sheetFormatPr defaultRowHeight="15" x14ac:dyDescent="0.25"/>
  <cols>
    <col min="1" max="2" width="16" customWidth="1"/>
    <col min="3" max="3" width="10" customWidth="1"/>
    <col min="4" max="4" width="14" customWidth="1"/>
  </cols>
  <sheetData>
    <row r="1" spans="1:4" ht="18.75" customHeight="1" x14ac:dyDescent="0.3">
      <c r="A1" s="12" t="s">
        <v>175</v>
      </c>
    </row>
    <row r="3" spans="1:4" x14ac:dyDescent="0.25">
      <c r="A3" t="s">
        <v>12</v>
      </c>
      <c r="B3" t="s">
        <v>176</v>
      </c>
      <c r="C3" t="s">
        <v>104</v>
      </c>
      <c r="D3" t="s">
        <v>106</v>
      </c>
    </row>
    <row r="4" spans="1:4" x14ac:dyDescent="0.25">
      <c r="A4" t="s">
        <v>177</v>
      </c>
      <c r="B4" t="s">
        <v>178</v>
      </c>
      <c r="C4">
        <v>4</v>
      </c>
      <c r="D4" t="str">
        <f>IF(C4&gt;=10,"🔴 HIGH",IF(C4&gt;=5,"🟡 MEDIUM","🟢 LOW"))</f>
        <v>🟢 LOW</v>
      </c>
    </row>
    <row r="5" spans="1:4" x14ac:dyDescent="0.25">
      <c r="A5" t="s">
        <v>179</v>
      </c>
      <c r="B5" t="s">
        <v>180</v>
      </c>
      <c r="C5">
        <v>12</v>
      </c>
      <c r="D5" t="str">
        <f>IF(C5&gt;=10,"🔴 HIGH",IF(C5&gt;=5,"🟡 MEDIUM","🟢 LOW"))</f>
        <v>🔴 HIGH</v>
      </c>
    </row>
    <row r="6" spans="1:4" x14ac:dyDescent="0.25">
      <c r="A6" t="s">
        <v>181</v>
      </c>
      <c r="B6" t="s">
        <v>182</v>
      </c>
      <c r="C6">
        <f>COUNTIF(MedicalData[Time Period],"Evening")</f>
        <v>0</v>
      </c>
      <c r="D6" t="str">
        <f>IF(C6&gt;=10,"🔴 HIGH",IF(C6&gt;=5,"🟡 MEDIUM","🟢 LOW"))</f>
        <v>🟢 LOW</v>
      </c>
    </row>
    <row r="7" spans="1:4" x14ac:dyDescent="0.25">
      <c r="A7" t="s">
        <v>183</v>
      </c>
      <c r="B7" t="s">
        <v>184</v>
      </c>
      <c r="C7">
        <f>COUNTIF(MedicalData[Time Period],"Night")</f>
        <v>0</v>
      </c>
      <c r="D7" t="str">
        <f>IF(C7&gt;=10,"🔴 HIGH",IF(C7&gt;=5,"🟡 MEDIUM","🟢 LOW"))</f>
        <v>🟢 LOW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5"/>
  <sheetViews>
    <sheetView workbookViewId="0"/>
  </sheetViews>
  <sheetFormatPr defaultRowHeight="15" x14ac:dyDescent="0.25"/>
  <sheetData>
    <row r="1" spans="1:5" x14ac:dyDescent="0.25">
      <c r="A1" t="s">
        <v>6</v>
      </c>
      <c r="C1" t="s">
        <v>8</v>
      </c>
      <c r="E1" t="s">
        <v>185</v>
      </c>
    </row>
    <row r="2" spans="1:5" x14ac:dyDescent="0.25">
      <c r="A2" t="s">
        <v>186</v>
      </c>
      <c r="C2" t="s">
        <v>187</v>
      </c>
      <c r="E2" t="s">
        <v>78</v>
      </c>
    </row>
    <row r="3" spans="1:5" x14ac:dyDescent="0.25">
      <c r="A3" t="s">
        <v>25</v>
      </c>
      <c r="C3" t="s">
        <v>188</v>
      </c>
      <c r="E3" t="s">
        <v>79</v>
      </c>
    </row>
    <row r="4" spans="1:5" x14ac:dyDescent="0.25">
      <c r="A4" t="s">
        <v>27</v>
      </c>
      <c r="C4" t="s">
        <v>189</v>
      </c>
      <c r="E4" t="s">
        <v>80</v>
      </c>
    </row>
    <row r="5" spans="1:5" x14ac:dyDescent="0.25">
      <c r="A5" t="s">
        <v>29</v>
      </c>
      <c r="C5" t="s">
        <v>190</v>
      </c>
      <c r="E5" t="s">
        <v>81</v>
      </c>
    </row>
    <row r="6" spans="1:5" x14ac:dyDescent="0.25">
      <c r="A6" t="s">
        <v>191</v>
      </c>
      <c r="E6" t="s">
        <v>82</v>
      </c>
    </row>
    <row r="7" spans="1:5" x14ac:dyDescent="0.25">
      <c r="A7" t="s">
        <v>192</v>
      </c>
      <c r="E7" t="s">
        <v>83</v>
      </c>
    </row>
    <row r="8" spans="1:5" x14ac:dyDescent="0.25">
      <c r="A8" t="s">
        <v>193</v>
      </c>
      <c r="E8" t="s">
        <v>84</v>
      </c>
    </row>
    <row r="9" spans="1:5" x14ac:dyDescent="0.25">
      <c r="A9" t="s">
        <v>194</v>
      </c>
      <c r="E9" t="s">
        <v>85</v>
      </c>
    </row>
    <row r="10" spans="1:5" x14ac:dyDescent="0.25">
      <c r="A10" t="s">
        <v>36</v>
      </c>
      <c r="E10" t="s">
        <v>86</v>
      </c>
    </row>
    <row r="11" spans="1:5" x14ac:dyDescent="0.25">
      <c r="A11" t="s">
        <v>195</v>
      </c>
      <c r="E11" t="s">
        <v>87</v>
      </c>
    </row>
    <row r="12" spans="1:5" x14ac:dyDescent="0.25">
      <c r="A12" t="s">
        <v>196</v>
      </c>
      <c r="E12" t="s">
        <v>88</v>
      </c>
    </row>
    <row r="13" spans="1:5" x14ac:dyDescent="0.25">
      <c r="A13" t="s">
        <v>39</v>
      </c>
      <c r="E13" t="s">
        <v>89</v>
      </c>
    </row>
    <row r="14" spans="1:5" x14ac:dyDescent="0.25">
      <c r="A14" t="s">
        <v>40</v>
      </c>
      <c r="E14" t="s">
        <v>90</v>
      </c>
    </row>
    <row r="15" spans="1:5" x14ac:dyDescent="0.25">
      <c r="A15" t="s">
        <v>197</v>
      </c>
      <c r="E15" t="s">
        <v>91</v>
      </c>
    </row>
    <row r="16" spans="1:5" x14ac:dyDescent="0.25">
      <c r="A16" t="s">
        <v>198</v>
      </c>
      <c r="E16" t="s">
        <v>92</v>
      </c>
    </row>
    <row r="17" spans="1:5" x14ac:dyDescent="0.25">
      <c r="A17" t="s">
        <v>42</v>
      </c>
      <c r="E17" t="s">
        <v>93</v>
      </c>
    </row>
    <row r="18" spans="1:5" x14ac:dyDescent="0.25">
      <c r="A18" t="s">
        <v>199</v>
      </c>
      <c r="E18" t="s">
        <v>94</v>
      </c>
    </row>
    <row r="19" spans="1:5" x14ac:dyDescent="0.25">
      <c r="A19" t="s">
        <v>200</v>
      </c>
      <c r="E19" t="s">
        <v>95</v>
      </c>
    </row>
    <row r="20" spans="1:5" x14ac:dyDescent="0.25">
      <c r="A20" t="s">
        <v>201</v>
      </c>
      <c r="E20" t="s">
        <v>96</v>
      </c>
    </row>
    <row r="21" spans="1:5" x14ac:dyDescent="0.25">
      <c r="A21" t="s">
        <v>202</v>
      </c>
      <c r="E21" t="s">
        <v>97</v>
      </c>
    </row>
    <row r="22" spans="1:5" x14ac:dyDescent="0.25">
      <c r="A22" t="s">
        <v>47</v>
      </c>
      <c r="E22" t="s">
        <v>98</v>
      </c>
    </row>
    <row r="23" spans="1:5" x14ac:dyDescent="0.25">
      <c r="E23" t="s">
        <v>99</v>
      </c>
    </row>
    <row r="24" spans="1:5" x14ac:dyDescent="0.25">
      <c r="E24" t="s">
        <v>100</v>
      </c>
    </row>
    <row r="25" spans="1:5" x14ac:dyDescent="0.25">
      <c r="E25" t="s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 Entry</vt:lpstr>
      <vt:lpstr>Dashboard</vt:lpstr>
      <vt:lpstr>Monthly Stats</vt:lpstr>
      <vt:lpstr>Venue Analysis</vt:lpstr>
      <vt:lpstr>Age Analysis</vt:lpstr>
      <vt:lpstr>Injury Analysis</vt:lpstr>
      <vt:lpstr>Mechanism Analysis</vt:lpstr>
      <vt:lpstr>Time Analysis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stephen tapala</cp:lastModifiedBy>
  <dcterms:created xsi:type="dcterms:W3CDTF">2025-10-06T15:16:10Z</dcterms:created>
  <dcterms:modified xsi:type="dcterms:W3CDTF">2025-11-04T11:20:33Z</dcterms:modified>
</cp:coreProperties>
</file>