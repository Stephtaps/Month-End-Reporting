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Pro'!$A$1:$O$134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34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</row>
    <row r="127" ht="20" customHeight="1" s="21">
      <c r="B127" s="172" t="inlineStr">
        <is>
          <t>Venue</t>
        </is>
      </c>
      <c r="D127" s="172" t="inlineStr">
        <is>
          <t>Current</t>
        </is>
      </c>
      <c r="E127" s="172" t="inlineStr">
        <is>
          <t>Previous</t>
        </is>
      </c>
      <c r="F127" s="172" t="inlineStr">
        <is>
          <t>Change</t>
        </is>
      </c>
      <c r="G127" s="172" t="inlineStr">
        <is>
          <t>Trend</t>
        </is>
      </c>
    </row>
    <row r="128" ht="20" customHeight="1" s="21">
      <c r="B128" s="173" t="inlineStr">
        <is>
          <t>Skate Park</t>
        </is>
      </c>
      <c r="D128" s="174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74">
        <f>IF(C6="Weekly",IF(P6&gt;1,SUMPRODUCT((MONTH('Data Entry'!A2:A356)=Q6)*(YEAR('Data Entry'!A2:A356)=R6)*(INT((DAY('Data Entry'!A2:A356)-1)/7)+1=(P6-1))*('Data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Entry'!P2:P356=IF(I6="Q1","Q4",IF(I6="Q2","Q1",IF(I6="Q3","Q2","Q3"))))*('Data Entry'!F2:F356=B128)*1),0)))</f>
        <v/>
      </c>
      <c r="F128" s="170">
        <f>IFERROR(IF(E128=0,IF(D128=0,"0%","NEW"),TEXT((D128-E128)/E128,"+0%;-0%")),"-")</f>
        <v/>
      </c>
      <c r="G128" s="170">
        <f>IF(D128&gt;E128,"↑ UP",IF(D128&lt;E128,"↓ DOWN",IF(D128=E128,"→ SAME","-")))</f>
        <v/>
      </c>
    </row>
    <row r="129" ht="20" customHeight="1" s="21">
      <c r="B129" s="173" t="inlineStr">
        <is>
          <t>5 A side</t>
        </is>
      </c>
      <c r="D129" s="174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74">
        <f>IF(C6="Weekly",IF(P6&gt;1,SUMPRODUCT((MONTH('Data Entry'!A2:A356)=Q6)*(YEAR('Data Entry'!A2:A356)=R6)*(INT((DAY('Data Entry'!A2:A356)-1)/7)+1=(P6-1))*('Data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Entry'!P2:P356=IF(I6="Q1","Q4",IF(I6="Q2","Q1",IF(I6="Q3","Q2","Q3"))))*('Data Entry'!F2:F356=B129)*1),0)))</f>
        <v/>
      </c>
      <c r="F129" s="170">
        <f>IFERROR(IF(E129=0,IF(D129=0,"0%","NEW"),TEXT((D129-E129)/E129,"+0%;-0%")),"-")</f>
        <v/>
      </c>
      <c r="G129" s="170">
        <f>IF(D129&gt;E129,"↑ UP",IF(D129&lt;E129,"↓ DOWN",IF(D129=E129,"→ SAME","-")))</f>
        <v/>
      </c>
    </row>
    <row r="130" ht="20" customHeight="1" s="21">
      <c r="B130" s="173" t="inlineStr">
        <is>
          <t>Basketball</t>
        </is>
      </c>
      <c r="D130" s="174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74">
        <f>IF(C6="Weekly",IF(P6&gt;1,SUMPRODUCT((MONTH('Data Entry'!A2:A356)=Q6)*(YEAR('Data Entry'!A2:A356)=R6)*(INT((DAY('Data Entry'!A2:A356)-1)/7)+1=(P6-1))*('Data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Entry'!P2:P356=IF(I6="Q1","Q4",IF(I6="Q2","Q1",IF(I6="Q3","Q2","Q3"))))*('Data Entry'!F2:F356=B130)*1),0)))</f>
        <v/>
      </c>
      <c r="F130" s="170">
        <f>IFERROR(IF(E130=0,IF(D130=0,"0%","NEW"),TEXT((D130-E130)/E130,"+0%;-0%")),"-")</f>
        <v/>
      </c>
      <c r="G130" s="170">
        <f>IF(D130&gt;E130,"↑ UP",IF(D130&lt;E130,"↓ DOWN",IF(D130=E130,"→ SAME","-")))</f>
        <v/>
      </c>
    </row>
    <row r="131" ht="20" customHeight="1" s="21">
      <c r="B131" s="173" t="inlineStr">
        <is>
          <t>Outdoor gym</t>
        </is>
      </c>
      <c r="D131" s="174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74">
        <f>IF(C6="Weekly",IF(P6&gt;1,SUMPRODUCT((MONTH('Data Entry'!A2:A356)=Q6)*(YEAR('Data Entry'!A2:A356)=R6)*(INT((DAY('Data Entry'!A2:A356)-1)/7)+1=(P6-1))*('Data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Entry'!P2:P356=IF(I6="Q1","Q4",IF(I6="Q2","Q1",IF(I6="Q3","Q2","Q3"))))*('Data Entry'!F2:F356=B131)*1),0)))</f>
        <v/>
      </c>
      <c r="F131" s="170">
        <f>IFERROR(IF(E131=0,IF(D131=0,"0%","NEW"),TEXT((D131-E131)/E131,"+0%;-0%")),"-")</f>
        <v/>
      </c>
      <c r="G131" s="170">
        <f>IF(D131&gt;E131,"↑ UP",IF(D131&lt;E131,"↓ DOWN",IF(D131=E131,"→ SAME","-")))</f>
        <v/>
      </c>
    </row>
    <row r="132" ht="20" customHeight="1" s="21">
      <c r="B132" s="173" t="inlineStr">
        <is>
          <t>JDI Studio</t>
        </is>
      </c>
      <c r="D132" s="174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74">
        <f>IF(C6="Weekly",IF(P6&gt;1,SUMPRODUCT((MONTH('Data Entry'!A2:A356)=Q6)*(YEAR('Data Entry'!A2:A356)=R6)*(INT((DAY('Data Entry'!A2:A356)-1)/7)+1=(P6-1))*('Data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Entry'!P2:P356=IF(I6="Q1","Q4",IF(I6="Q2","Q1",IF(I6="Q3","Q2","Q3"))))*('Data Entry'!F2:F356=B132)*1),0)))</f>
        <v/>
      </c>
      <c r="F132" s="170">
        <f>IFERROR(IF(E132=0,IF(D132=0,"0%","NEW"),TEXT((D132-E132)/E132,"+0%;-0%")),"-")</f>
        <v/>
      </c>
      <c r="G132" s="170">
        <f>IF(D132&gt;E132,"↑ UP",IF(D132&lt;E132,"↓ DOWN",IF(D132=E132,"→ SAME","-")))</f>
        <v/>
      </c>
    </row>
    <row r="133" ht="15" customHeight="1" s="21"/>
    <row r="134">
      <c r="B134" s="139" t="inlineStr">
        <is>
          <t>Dashboard Pro | Nike Soweto Medical Incidents Reporting System | Trend analysis updates automatically</t>
        </is>
      </c>
    </row>
  </sheetData>
  <mergeCells count="48">
    <mergeCell ref="B129:C129"/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31:C131"/>
    <mergeCell ref="B122:C122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2:C132"/>
    <mergeCell ref="B134:N134"/>
    <mergeCell ref="B104:G104"/>
    <mergeCell ref="B119:C119"/>
    <mergeCell ref="H11:I11"/>
    <mergeCell ref="J11:K11"/>
    <mergeCell ref="L10:M10"/>
    <mergeCell ref="B10:C10"/>
    <mergeCell ref="B128:C128"/>
    <mergeCell ref="B126:G126"/>
    <mergeCell ref="B86:N86"/>
    <mergeCell ref="H117:N117"/>
    <mergeCell ref="B127:C12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>Afternoon Program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2025-12-04T15:58:46Z</dcterms:modified>
  <cp:lastModifiedBy>stephen tapala</cp:lastModifiedBy>
</cp:coreProperties>
</file>