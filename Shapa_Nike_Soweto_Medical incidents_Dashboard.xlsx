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45" yWindow="240" windowWidth="26430" windowHeight="15060" tabRatio="600" firstSheet="0" activeTab="6" autoFilterDateGrouping="1"/>
  </bookViews>
  <sheets>
    <sheet name="Data Entry" sheetId="1" state="visible" r:id="rId1"/>
    <sheet name="Dashboard" sheetId="2" state="visible" r:id="rId2"/>
    <sheet name="Monthly Stats" sheetId="3" state="visible" r:id="rId3"/>
    <sheet name="Venue Analysis" sheetId="4" state="visible" r:id="rId4"/>
    <sheet name="Age Analysis" sheetId="5" state="visible" r:id="rId5"/>
    <sheet name="Injury Analysis" sheetId="6" state="visible" r:id="rId6"/>
    <sheet name="Mechanism Analysis" sheetId="7" state="visible" r:id="rId7"/>
    <sheet name="Program Analysis" sheetId="8" state="visible" r:id="rId8"/>
    <sheet name="Time Analysis" sheetId="9" state="visible" r:id="rId9"/>
    <sheet name="Lists" sheetId="10" state="visible" r:id="rId10"/>
    <sheet name="Severity Analysis" sheetId="11" state="visible" r:id="rId11"/>
    <sheet name="Chart Data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1">
    <font>
      <name val="Calibri"/>
      <family val="2"/>
      <color theme="1"/>
      <sz val="11"/>
      <scheme val="minor"/>
    </font>
    <font>
      <name val="Arial Black"/>
      <family val="2"/>
      <b val="1"/>
      <color rgb="FFFFFFFF"/>
      <sz val="24"/>
    </font>
    <font>
      <name val="Calibri"/>
      <family val="2"/>
      <b val="1"/>
      <sz val="11"/>
    </font>
    <font>
      <name val="Calibri"/>
      <family val="2"/>
      <b val="1"/>
      <color rgb="FFFFFFFF"/>
      <sz val="12"/>
    </font>
    <font>
      <name val="Calibri"/>
      <family val="2"/>
      <b val="1"/>
      <color rgb="FFFFFFFF"/>
      <sz val="36"/>
    </font>
    <font>
      <name val="Calibri"/>
      <family val="2"/>
      <b val="1"/>
      <color rgb="FFFFFFFF"/>
      <sz val="18"/>
    </font>
    <font>
      <name val="Calibri"/>
      <family val="2"/>
      <b val="1"/>
      <color rgb="FFFFFFFF"/>
      <sz val="14"/>
    </font>
    <font>
      <name val="Calibri"/>
      <family val="2"/>
      <b val="1"/>
      <color rgb="FFFFFFFF"/>
      <sz val="16"/>
    </font>
    <font>
      <name val="Calibri"/>
      <family val="2"/>
      <b val="1"/>
      <sz val="16"/>
    </font>
    <font>
      <name val="Calibri"/>
      <family val="2"/>
      <b val="1"/>
      <sz val="14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Segoe UI"/>
      <family val="2"/>
      <color theme="1"/>
      <sz val="12"/>
    </font>
    <font>
      <name val="Calibri"/>
      <family val="2"/>
      <b val="1"/>
      <sz val="11"/>
    </font>
    <font>
      <b val="1"/>
    </font>
    <font>
      <b val="1"/>
      <sz val="9"/>
    </font>
    <font>
      <b val="1"/>
      <sz val="14"/>
    </font>
    <font>
      <b val="1"/>
      <sz val="12"/>
    </font>
    <font>
      <b val="1"/>
      <sz val="10"/>
    </font>
    <font>
      <b val="1"/>
      <color rgb="001F4E79"/>
      <sz val="16"/>
    </font>
    <font>
      <b val="1"/>
      <color rgb="00FFFFFF"/>
      <sz val="11"/>
    </font>
    <font>
      <b val="1"/>
      <color rgb="001F4E79"/>
      <sz val="12"/>
    </font>
    <font>
      <b val="1"/>
      <color rgb="001F4E79"/>
      <sz val="14"/>
    </font>
    <font>
      <i val="1"/>
      <color rgb="00666666"/>
      <sz val="9"/>
    </font>
    <font>
      <b val="1"/>
      <color rgb="00FFFFFF"/>
      <sz val="10"/>
    </font>
    <font>
      <i val="1"/>
      <sz val="9"/>
    </font>
    <font/>
    <font>
      <b val="1"/>
      <color rgb="001F4E79"/>
      <sz val="18"/>
    </font>
    <font>
      <b val="1"/>
      <sz val="11"/>
    </font>
    <font>
      <b val="1"/>
      <sz val="16"/>
    </font>
    <font>
      <color rgb="00FFFFFF"/>
    </font>
  </fonts>
  <fills count="13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97132"/>
      </patternFill>
    </fill>
    <fill>
      <patternFill patternType="solid">
        <fgColor rgb="FF7030A0"/>
      </patternFill>
    </fill>
    <fill>
      <patternFill patternType="solid">
        <fgColor rgb="FFC00000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001F4E79"/>
        <bgColor rgb="001F4E79"/>
      </patternFill>
    </fill>
    <fill>
      <patternFill patternType="solid">
        <fgColor rgb="00FF6B00"/>
        <bgColor rgb="00FF6B00"/>
      </patternFill>
    </fill>
    <fill>
      <patternFill patternType="solid">
        <fgColor rgb="00DCE6F1"/>
        <bgColor rgb="00DCE6F1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2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4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0" fontId="10" fillId="8" borderId="4" pivotButton="0" quotePrefix="0" xfId="0"/>
    <xf numFmtId="16" fontId="0" fillId="0" borderId="0" pivotButton="0" quotePrefix="0" xfId="0"/>
    <xf numFmtId="20" fontId="0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14" fontId="0" fillId="0" borderId="0" pivotButton="0" quotePrefix="0" xfId="0"/>
    <xf numFmtId="14" fontId="0" fillId="9" borderId="5" pivotButton="0" quotePrefix="0" xfId="0"/>
    <xf numFmtId="0" fontId="5" fillId="7" borderId="0" applyAlignment="1" pivotButton="0" quotePrefix="0" xfId="0">
      <alignment horizontal="center"/>
    </xf>
    <xf numFmtId="0" fontId="0" fillId="0" borderId="0" pivotButton="0" quotePrefix="0" xfId="0"/>
    <xf numFmtId="0" fontId="7" fillId="3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164" fontId="0" fillId="0" borderId="0" pivotButton="0" quotePrefix="0" xfId="0"/>
    <xf numFmtId="0" fontId="19" fillId="2" borderId="0" applyAlignment="1" pivotButton="0" quotePrefix="0" xfId="0">
      <alignment horizontal="center" vertical="center"/>
    </xf>
    <xf numFmtId="0" fontId="19" fillId="0" borderId="0" pivotButton="0" quotePrefix="0" xfId="0"/>
    <xf numFmtId="0" fontId="20" fillId="10" borderId="0" applyAlignment="1" pivotButton="0" quotePrefix="0" xfId="0">
      <alignment horizontal="center"/>
    </xf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10" borderId="0" applyAlignment="1" pivotButton="0" quotePrefix="0" xfId="0">
      <alignment horizontal="center"/>
    </xf>
    <xf numFmtId="0" fontId="25" fillId="0" borderId="0" pivotButton="0" quotePrefix="0" xfId="0"/>
    <xf numFmtId="0" fontId="27" fillId="0" borderId="8" applyAlignment="1" pivotButton="0" quotePrefix="0" xfId="0">
      <alignment horizontal="center" vertical="center"/>
    </xf>
    <xf numFmtId="0" fontId="26" fillId="0" borderId="8" pivotButton="0" quotePrefix="0" xfId="0"/>
    <xf numFmtId="16" fontId="26" fillId="0" borderId="8" pivotButton="0" quotePrefix="0" xfId="0"/>
    <xf numFmtId="0" fontId="21" fillId="0" borderId="8" pivotButton="0" quotePrefix="0" xfId="0"/>
    <xf numFmtId="0" fontId="18" fillId="0" borderId="8" applyAlignment="1" pivotButton="0" quotePrefix="0" xfId="0">
      <alignment horizontal="center"/>
    </xf>
    <xf numFmtId="0" fontId="20" fillId="11" borderId="9" applyAlignment="1" pivotButton="0" quotePrefix="0" xfId="0">
      <alignment horizontal="center"/>
    </xf>
    <xf numFmtId="0" fontId="18" fillId="0" borderId="8" pivotButton="0" quotePrefix="0" xfId="0"/>
    <xf numFmtId="0" fontId="26" fillId="0" borderId="9" applyAlignment="1" pivotButton="0" quotePrefix="0" xfId="0">
      <alignment horizontal="center"/>
    </xf>
    <xf numFmtId="0" fontId="26" fillId="0" borderId="8" applyAlignment="1" pivotButton="0" quotePrefix="0" xfId="0">
      <alignment horizontal="center"/>
    </xf>
    <xf numFmtId="0" fontId="28" fillId="0" borderId="8" applyAlignment="1" pivotButton="0" quotePrefix="0" xfId="0">
      <alignment horizontal="center"/>
    </xf>
    <xf numFmtId="0" fontId="15" fillId="0" borderId="8" pivotButton="0" quotePrefix="0" xfId="0"/>
    <xf numFmtId="0" fontId="28" fillId="0" borderId="8" pivotButton="0" quotePrefix="0" xfId="0"/>
    <xf numFmtId="0" fontId="29" fillId="0" borderId="8" pivotButton="0" quotePrefix="0" xfId="0"/>
    <xf numFmtId="0" fontId="26" fillId="12" borderId="9" applyAlignment="1" pivotButton="0" quotePrefix="0" xfId="0">
      <alignment horizontal="center"/>
    </xf>
    <xf numFmtId="0" fontId="28" fillId="12" borderId="9" applyAlignment="1" pivotButton="0" quotePrefix="0" xfId="0">
      <alignment horizontal="center"/>
    </xf>
    <xf numFmtId="0" fontId="23" fillId="0" borderId="8" pivotButton="0" quotePrefix="0" xfId="0"/>
    <xf numFmtId="0" fontId="3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Incidents by Venue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view3D>
      <rotX val="15"/>
      <rotY val="20"/>
      <rAngAx val="1"/>
    </view3D>
    <floor>
      <thickness val="0"/>
      <spPr>
        <a:noFill/>
        <a:ln>
          <a:noFill/>
          <a:prstDash val="solid"/>
        </a:ln>
        <a:sp3d/>
      </spPr>
    </floor>
    <sideWall>
      <thickness val="0"/>
      <spPr>
        <a:noFill/>
        <a:ln>
          <a:noFill/>
          <a:prstDash val="solid"/>
        </a:ln>
        <a:sp3d/>
      </spPr>
    </sideWall>
    <backWall>
      <thickness val="0"/>
      <spPr>
        <a:noFill/>
        <a:ln>
          <a:noFill/>
          <a:prstDash val="solid"/>
        </a:ln>
        <a:sp3d/>
      </spPr>
    </backWall>
    <plotArea>
      <layout/>
      <bar3DChart>
        <barDir val="col"/>
        <grouping val="clustered"/>
        <varyColors val="0"/>
        <ser>
          <idx val="0"/>
          <order val="0"/>
          <tx>
            <strRef>
              <f>'Venue Analysis'!$B$3</f>
              <strCache>
                <ptCount val="1"/>
                <pt idx="0">
                  <v>Count</v>
                </pt>
              </strCache>
            </strRef>
          </tx>
          <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prstDash val="solid"/>
              <a:round/>
            </a:ln>
            <a:sp3d contourW="9525">
              <contourClr rgb="00000000"/>
            </a:sp3d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'Venue Analysis'!$A$4:$A$19</f>
              <strCache>
                <ptCount val="16"/>
                <pt idx="0">
                  <v>Skate Park</v>
                </pt>
                <pt idx="1">
                  <v xml:space="preserve">5 A side </v>
                </pt>
                <pt idx="2">
                  <v>Basketball</v>
                </pt>
                <pt idx="3">
                  <v>Outdoor gym</v>
                </pt>
                <pt idx="4">
                  <v xml:space="preserve">JDI Studio </v>
                </pt>
                <pt idx="5">
                  <v>PHINDA Studio</v>
                </pt>
                <pt idx="6">
                  <v>PHAMBILI Studio</v>
                </pt>
                <pt idx="7">
                  <v xml:space="preserve">11- A side </v>
                </pt>
                <pt idx="8">
                  <v>Athletics track</v>
                </pt>
                <pt idx="9">
                  <v>Registration area</v>
                </pt>
                <pt idx="10">
                  <v xml:space="preserve">Car parking </v>
                </pt>
                <pt idx="11">
                  <v>Change Rooms</v>
                </pt>
                <pt idx="12">
                  <v>Equipment Rooms</v>
                </pt>
                <pt idx="13">
                  <v>1KM RUN/WALK PATH</v>
                </pt>
                <pt idx="14">
                  <v>Bleachers</v>
                </pt>
                <pt idx="15">
                  <v>P GATE</v>
                </pt>
              </strCache>
            </strRef>
          </cat>
          <val>
            <numRef>
              <f>'Venue Analysis'!$B$4:$B$19</f>
              <numCache>
                <formatCode>General</formatCode>
                <ptCount val="16"/>
                <pt idx="0">
                  <v>2</v>
                </pt>
                <pt idx="1">
                  <v>5</v>
                </pt>
                <pt idx="2">
                  <v>1</v>
                </pt>
                <pt idx="3">
                  <v>1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15</v>
                </pt>
                <pt idx="8">
                  <v>1</v>
                </pt>
                <pt idx="9">
                  <v>0</v>
                </pt>
                <pt idx="10">
                  <v>0</v>
                </pt>
                <pt idx="11">
                  <v>1</v>
                </pt>
                <pt idx="12">
                  <v>0</v>
                </pt>
                <pt idx="13">
                  <v>1</v>
                </pt>
                <pt idx="14">
                  <v>0</v>
                </pt>
                <pt idx="15">
                  <v>0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150"/>
        <gapDepth val="150"/>
        <shape val="box"/>
        <axId val="10"/>
        <axId val="100"/>
        <axId val="1000"/>
      </bar3DChart>
      <catAx>
        <axId val="10"/>
        <scaling>
          <orientation val="minMax"/>
        </scaling>
        <delete val="0"/>
        <axPos val="b"/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Venue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900" b="0" i="0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0"/>
        <crosses val="autoZero"/>
        <auto val="0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Incidents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900" b="0" i="0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"/>
        <crosses val="autoZero"/>
        <crossBetween val="between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Age Distribution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pie3DChart>
        <varyColors val="1"/>
        <ser>
          <idx val="0"/>
          <order val="0"/>
          <tx>
            <strRef>
              <f>'Age Analysis'!$B$3</f>
              <strCache>
                <ptCount val="1"/>
                <pt idx="0">
                  <v>Count</v>
                </pt>
              </strCache>
            </strRef>
          </tx>
          <spPr>
            <a:ln>
              <a:prstDash val="solid"/>
            </a:ln>
          </spPr>
          <dPt>
            <idx val="0"/>
            <bubble3D val="0"/>
            <spPr>
              <a:solidFill>
                <a:schemeClr val="accent1"/>
              </a:solidFill>
              <a:ln>
                <a:noFill/>
                <a:prstDash val="solid"/>
              </a:ln>
              <scene3d>
                <camera prst="orthographicFront"/>
                <lightRig rig="threePt" dir="t"/>
              </scene3d>
              <a:sp3d>
                <bevelB w="127000" h="127000"/>
                <bevelT w="127000" h="127000"/>
              </a:sp3d>
            </spPr>
          </dPt>
          <dPt>
            <idx val="1"/>
            <bubble3D val="0"/>
            <spPr>
              <a:solidFill>
                <a:schemeClr val="accent2"/>
              </a:solidFill>
              <a:ln>
                <a:noFill/>
                <a:prstDash val="solid"/>
              </a:ln>
              <scene3d>
                <camera prst="orthographicFront"/>
                <lightRig rig="threePt" dir="t"/>
              </scene3d>
              <a:sp3d>
                <bevelB w="127000" h="127000"/>
                <bevelT w="127000" h="127000"/>
              </a:sp3d>
            </spPr>
          </dPt>
          <dPt>
            <idx val="2"/>
            <bubble3D val="0"/>
            <spPr>
              <a:solidFill>
                <a:schemeClr val="accent3"/>
              </a:solidFill>
              <a:ln>
                <a:noFill/>
                <a:prstDash val="solid"/>
              </a:ln>
              <scene3d>
                <camera prst="orthographicFront"/>
                <lightRig rig="threePt" dir="t"/>
              </scene3d>
              <a:sp3d>
                <bevelB w="127000" h="127000"/>
                <bevelT w="127000" h="127000"/>
              </a:sp3d>
            </spPr>
          </dPt>
          <dPt>
            <idx val="3"/>
            <bubble3D val="0"/>
            <spPr>
              <a:solidFill>
                <a:schemeClr val="accent4"/>
              </a:solidFill>
              <a:ln>
                <a:noFill/>
                <a:prstDash val="solid"/>
              </a:ln>
              <scene3d>
                <camera prst="orthographicFront"/>
                <lightRig rig="threePt" dir="t"/>
              </scene3d>
              <a:sp3d>
                <bevelB w="127000" h="127000"/>
                <bevelT w="127000" h="127000"/>
              </a:sp3d>
            </spPr>
          </dPt>
          <dPt>
            <idx val="4"/>
            <bubble3D val="0"/>
            <spPr>
              <a:solidFill>
                <a:schemeClr val="accent5"/>
              </a:solidFill>
              <a:ln>
                <a:noFill/>
                <a:prstDash val="solid"/>
              </a:ln>
              <scene3d>
                <camera prst="orthographicFront"/>
                <lightRig rig="threePt" dir="t"/>
              </scene3d>
              <a:sp3d>
                <bevelB w="127000" h="127000"/>
                <bevelT w="127000" h="127000"/>
              </a:sp3d>
            </spPr>
          </dPt>
          <dLbls>
            <dLbl>
              <idx val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2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3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4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0"/>
          </dLbls>
          <cat>
            <strRef>
              <f>'Age Analysis'!$A$4:$A$8</f>
              <strCache>
                <ptCount val="5"/>
                <pt idx="0">
                  <v>0-12 years</v>
                </pt>
                <pt idx="1">
                  <v>13-17 years</v>
                </pt>
                <pt idx="2">
                  <v>18-25 years</v>
                </pt>
                <pt idx="3">
                  <v>26-35 years</v>
                </pt>
                <pt idx="4">
                  <v>36+ years</v>
                </pt>
              </strCache>
            </strRef>
          </cat>
          <val>
            <numRef>
              <f>'Age Analysis'!$B$4:$B$8</f>
              <numCache>
                <formatCode>General</formatCode>
                <ptCount val="5"/>
                <pt idx="0">
                  <v>4</v>
                </pt>
                <pt idx="1">
                  <v>11</v>
                </pt>
                <pt idx="2">
                  <v>11</v>
                </pt>
                <pt idx="3">
                  <v>0</v>
                </pt>
                <pt idx="4">
                  <v>1</v>
                </pt>
              </numCache>
            </numRef>
          </val>
        </ser>
        <dLbls>
          <dLblPos val="outEnd"/>
          <showLegendKey val="0"/>
          <showVal val="0"/>
          <showCatName val="0"/>
          <showSerName val="0"/>
          <showPercent val="1"/>
          <showBubbleSize val="0"/>
          <showLeaderLines val="0"/>
        </dLbls>
      </pie3DChart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Most Common Injuries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view3D>
      <rotX val="15"/>
      <rotY val="20"/>
      <rAngAx val="1"/>
    </view3D>
    <floor>
      <thickness val="0"/>
      <spPr>
        <a:noFill/>
        <a:ln>
          <a:noFill/>
          <a:prstDash val="solid"/>
        </a:ln>
        <a:sp3d/>
      </spPr>
    </floor>
    <sideWall>
      <thickness val="0"/>
      <spPr>
        <a:noFill/>
        <a:ln>
          <a:noFill/>
          <a:prstDash val="solid"/>
        </a:ln>
        <a:sp3d/>
      </spPr>
    </sideWall>
    <backWall>
      <thickness val="0"/>
      <spPr>
        <a:noFill/>
        <a:ln>
          <a:noFill/>
          <a:prstDash val="solid"/>
        </a:ln>
        <a:sp3d/>
      </spPr>
    </backWall>
    <plotArea>
      <layout/>
      <bar3DChart>
        <barDir val="col"/>
        <grouping val="clustered"/>
        <varyColors val="0"/>
        <ser>
          <idx val="0"/>
          <order val="0"/>
          <tx>
            <strRef>
              <f>'Injury Analysis'!$A$4</f>
              <strCache>
                <ptCount val="1"/>
                <pt idx="0">
                  <v xml:space="preserve">Head Injury 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  <a:sp3d/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'Injury Analysis'!$B$3</f>
              <strCache>
                <ptCount val="1"/>
                <pt idx="0">
                  <v>Count</v>
                </pt>
              </strCache>
            </strRef>
          </cat>
          <val>
            <numRef>
              <f>'Injury Analysis'!$B$4</f>
              <numCache>
                <formatCode>General</formatCode>
                <ptCount val="1"/>
                <pt idx="0">
                  <v>0</v>
                </pt>
              </numCache>
            </numRef>
          </val>
        </ser>
        <ser>
          <idx val="1"/>
          <order val="1"/>
          <tx>
            <strRef>
              <f>'Injury Analysis'!$A$5</f>
              <strCache>
                <ptCount val="1"/>
                <pt idx="0">
                  <v xml:space="preserve">Neck Injury 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  <a:sp3d/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'Injury Analysis'!$B$3</f>
              <strCache>
                <ptCount val="1"/>
                <pt idx="0">
                  <v>Count</v>
                </pt>
              </strCache>
            </strRef>
          </cat>
          <val>
            <numRef>
              <f>'Injury Analysis'!$B$5</f>
              <numCache>
                <formatCode>General</formatCode>
                <ptCount val="1"/>
                <pt idx="0">
                  <v>0</v>
                </pt>
              </numCache>
            </numRef>
          </val>
        </ser>
        <ser>
          <idx val="2"/>
          <order val="2"/>
          <tx>
            <strRef>
              <f>'Injury Analysis'!$A$6</f>
              <strCache>
                <ptCount val="1"/>
                <pt idx="0">
                  <v xml:space="preserve">Facial Injury 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  <a:sp3d/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'Injury Analysis'!$B$3</f>
              <strCache>
                <ptCount val="1"/>
                <pt idx="0">
                  <v>Count</v>
                </pt>
              </strCache>
            </strRef>
          </cat>
          <val>
            <numRef>
              <f>'Injury Analysis'!$B$6</f>
              <numCache>
                <formatCode>General</formatCode>
                <ptCount val="1"/>
                <pt idx="0">
                  <v>3</v>
                </pt>
              </numCache>
            </numRef>
          </val>
        </ser>
        <ser>
          <idx val="3"/>
          <order val="3"/>
          <tx>
            <strRef>
              <f>'Injury Analysis'!$A$7</f>
              <strCache>
                <ptCount val="1"/>
                <pt idx="0">
                  <v xml:space="preserve">spinal injury </v>
                </pt>
              </strCache>
            </strRef>
          </tx>
          <spPr>
            <a:solidFill>
              <a:schemeClr val="accent4"/>
            </a:solidFill>
            <a:ln>
              <a:noFill/>
              <a:prstDash val="solid"/>
            </a:ln>
            <a:sp3d/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'Injury Analysis'!$B$3</f>
              <strCache>
                <ptCount val="1"/>
                <pt idx="0">
                  <v>Count</v>
                </pt>
              </strCache>
            </strRef>
          </cat>
          <val>
            <numRef>
              <f>'Injury Analysis'!$B$7</f>
              <numCache>
                <formatCode>General</formatCode>
                <ptCount val="1"/>
                <pt idx="0">
                  <v>0</v>
                </pt>
              </numCache>
            </numRef>
          </val>
        </ser>
        <ser>
          <idx val="4"/>
          <order val="4"/>
          <tx>
            <strRef>
              <f>'Injury Analysis'!$A$8</f>
              <strCache>
                <ptCount val="1"/>
                <pt idx="0">
                  <v xml:space="preserve">Shoulder </v>
                </pt>
              </strCache>
            </strRef>
          </tx>
          <spPr>
            <a:solidFill>
              <a:schemeClr val="accent5"/>
            </a:solidFill>
            <a:ln>
              <a:noFill/>
              <a:prstDash val="solid"/>
            </a:ln>
            <a:sp3d/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'Injury Analysis'!$B$3</f>
              <strCache>
                <ptCount val="1"/>
                <pt idx="0">
                  <v>Count</v>
                </pt>
              </strCache>
            </strRef>
          </cat>
          <val>
            <numRef>
              <f>'Injury Analysis'!$B$8</f>
              <numCache>
                <formatCode>General</formatCode>
                <ptCount val="1"/>
                <pt idx="0">
                  <v>1</v>
                </pt>
              </numCache>
            </numRef>
          </val>
        </ser>
        <ser>
          <idx val="5"/>
          <order val="5"/>
          <tx>
            <strRef>
              <f>'Injury Analysis'!$A$9</f>
              <strCache>
                <ptCount val="1"/>
                <pt idx="0">
                  <v xml:space="preserve">Elbow </v>
                </pt>
              </strCache>
            </strRef>
          </tx>
          <spPr>
            <a:solidFill>
              <a:schemeClr val="accent6"/>
            </a:solidFill>
            <a:ln>
              <a:noFill/>
              <a:prstDash val="solid"/>
            </a:ln>
            <a:sp3d/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'Injury Analysis'!$B$3</f>
              <strCache>
                <ptCount val="1"/>
                <pt idx="0">
                  <v>Count</v>
                </pt>
              </strCache>
            </strRef>
          </cat>
          <val>
            <numRef>
              <f>'Injury Analysis'!$B$9</f>
              <numCache>
                <formatCode>General</formatCode>
                <ptCount val="1"/>
                <pt idx="0">
                  <v>1</v>
                </pt>
              </numCache>
            </numRef>
          </val>
        </ser>
        <ser>
          <idx val="6"/>
          <order val="6"/>
          <tx>
            <strRef>
              <f>'Injury Analysis'!$A$10</f>
              <strCache>
                <ptCount val="1"/>
                <pt idx="0">
                  <v xml:space="preserve">Wrist </v>
                </pt>
              </strCache>
            </strRef>
          </tx>
          <spPr>
            <a:solidFill>
              <a:schemeClr val="accent1">
                <a:lumMod val="60000"/>
              </a:schemeClr>
            </a:solidFill>
            <a:ln>
              <a:noFill/>
              <a:prstDash val="solid"/>
            </a:ln>
            <a:sp3d/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'Injury Analysis'!$B$3</f>
              <strCache>
                <ptCount val="1"/>
                <pt idx="0">
                  <v>Count</v>
                </pt>
              </strCache>
            </strRef>
          </cat>
          <val>
            <numRef>
              <f>'Injury Analysis'!$B$10</f>
              <numCache>
                <formatCode>General</formatCode>
                <ptCount val="1"/>
                <pt idx="0">
                  <v>2</v>
                </pt>
              </numCache>
            </numRef>
          </val>
        </ser>
        <ser>
          <idx val="7"/>
          <order val="7"/>
          <tx>
            <strRef>
              <f>'Injury Analysis'!$A$11</f>
              <strCache>
                <ptCount val="1"/>
                <pt idx="0">
                  <v xml:space="preserve">Hand </v>
                </pt>
              </strCache>
            </strRef>
          </tx>
          <spPr>
            <a:solidFill>
              <a:schemeClr val="accent2">
                <a:lumMod val="60000"/>
              </a:schemeClr>
            </a:solidFill>
            <a:ln>
              <a:noFill/>
              <a:prstDash val="solid"/>
            </a:ln>
            <a:sp3d/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'Injury Analysis'!$B$3</f>
              <strCache>
                <ptCount val="1"/>
                <pt idx="0">
                  <v>Count</v>
                </pt>
              </strCache>
            </strRef>
          </cat>
          <val>
            <numRef>
              <f>'Injury Analysis'!$B$11</f>
              <numCache>
                <formatCode>General</formatCode>
                <ptCount val="1"/>
                <pt idx="0">
                  <v>2</v>
                </pt>
              </numCache>
            </numRef>
          </val>
        </ser>
        <ser>
          <idx val="8"/>
          <order val="8"/>
          <tx>
            <strRef>
              <f>'Injury Analysis'!$A$12</f>
              <strCache>
                <ptCount val="1"/>
                <pt idx="0">
                  <v xml:space="preserve">Arm </v>
                </pt>
              </strCache>
            </strRef>
          </tx>
          <spPr>
            <a:solidFill>
              <a:schemeClr val="accent3">
                <a:lumMod val="60000"/>
              </a:schemeClr>
            </a:solidFill>
            <a:ln>
              <a:noFill/>
              <a:prstDash val="solid"/>
            </a:ln>
            <a:sp3d/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'Injury Analysis'!$B$3</f>
              <strCache>
                <ptCount val="1"/>
                <pt idx="0">
                  <v>Count</v>
                </pt>
              </strCache>
            </strRef>
          </cat>
          <val>
            <numRef>
              <f>'Injury Analysis'!$B$12</f>
              <numCache>
                <formatCode>General</formatCode>
                <ptCount val="1"/>
                <pt idx="0">
                  <v>2</v>
                </pt>
              </numCache>
            </numRef>
          </val>
        </ser>
        <ser>
          <idx val="9"/>
          <order val="9"/>
          <tx>
            <strRef>
              <f>'Injury Analysis'!$A$13</f>
              <strCache>
                <ptCount val="1"/>
                <pt idx="0">
                  <v xml:space="preserve">Upper limb Muscle </v>
                </pt>
              </strCache>
            </strRef>
          </tx>
          <spPr>
            <a:solidFill>
              <a:schemeClr val="accent4">
                <a:lumMod val="60000"/>
              </a:schemeClr>
            </a:solidFill>
            <a:ln>
              <a:noFill/>
              <a:prstDash val="solid"/>
            </a:ln>
            <a:sp3d/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'Injury Analysis'!$B$3</f>
              <strCache>
                <ptCount val="1"/>
                <pt idx="0">
                  <v>Count</v>
                </pt>
              </strCache>
            </strRef>
          </cat>
          <val>
            <numRef>
              <f>'Injury Analysis'!$B$13</f>
              <numCache>
                <formatCode>General</formatCode>
                <ptCount val="1"/>
                <pt idx="0">
                  <v>1</v>
                </pt>
              </numCache>
            </numRef>
          </val>
        </ser>
        <ser>
          <idx val="10"/>
          <order val="10"/>
          <tx>
            <strRef>
              <f>'Injury Analysis'!$A$14</f>
              <strCache>
                <ptCount val="1"/>
                <pt idx="0">
                  <v xml:space="preserve">Chest </v>
                </pt>
              </strCache>
            </strRef>
          </tx>
          <spPr>
            <a:solidFill>
              <a:schemeClr val="accent5">
                <a:lumMod val="60000"/>
              </a:schemeClr>
            </a:solidFill>
            <a:ln>
              <a:noFill/>
              <a:prstDash val="solid"/>
            </a:ln>
            <a:sp3d/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'Injury Analysis'!$B$3</f>
              <strCache>
                <ptCount val="1"/>
                <pt idx="0">
                  <v>Count</v>
                </pt>
              </strCache>
            </strRef>
          </cat>
          <val>
            <numRef>
              <f>'Injury Analysis'!$B$14</f>
              <numCache>
                <formatCode>General</formatCode>
                <ptCount val="1"/>
                <pt idx="0">
                  <v>0</v>
                </pt>
              </numCache>
            </numRef>
          </val>
        </ser>
        <ser>
          <idx val="11"/>
          <order val="11"/>
          <tx>
            <strRef>
              <f>'Injury Analysis'!$A$15</f>
              <strCache>
                <ptCount val="1"/>
                <pt idx="0">
                  <v xml:space="preserve">Abdominal </v>
                </pt>
              </strCache>
            </strRef>
          </tx>
          <spPr>
            <a:solidFill>
              <a:schemeClr val="accent6">
                <a:lumMod val="60000"/>
              </a:schemeClr>
            </a:solidFill>
            <a:ln>
              <a:noFill/>
              <a:prstDash val="solid"/>
            </a:ln>
            <a:sp3d/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'Injury Analysis'!$B$3</f>
              <strCache>
                <ptCount val="1"/>
                <pt idx="0">
                  <v>Count</v>
                </pt>
              </strCache>
            </strRef>
          </cat>
          <val>
            <numRef>
              <f>'Injury Analysis'!$B$15</f>
              <numCache>
                <formatCode>General</formatCode>
                <ptCount val="1"/>
                <pt idx="0">
                  <v>0</v>
                </pt>
              </numCache>
            </numRef>
          </val>
        </ser>
        <ser>
          <idx val="12"/>
          <order val="12"/>
          <tx>
            <strRef>
              <f>'Injury Analysis'!$A$16</f>
              <strCache>
                <ptCount val="1"/>
                <pt idx="0">
                  <v xml:space="preserve">Back </v>
                </pt>
              </strCache>
            </strRef>
          </tx>
          <spPr>
            <a:solidFill>
              <a:schemeClr val="accent1">
                <a:lumMod val="80000"/>
                <a:lumOff val="20000"/>
              </a:schemeClr>
            </a:solidFill>
            <a:ln>
              <a:noFill/>
              <a:prstDash val="solid"/>
            </a:ln>
            <a:sp3d/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'Injury Analysis'!$B$3</f>
              <strCache>
                <ptCount val="1"/>
                <pt idx="0">
                  <v>Count</v>
                </pt>
              </strCache>
            </strRef>
          </cat>
          <val>
            <numRef>
              <f>'Injury Analysis'!$B$16</f>
              <numCache>
                <formatCode>General</formatCode>
                <ptCount val="1"/>
                <pt idx="0">
                  <v>1</v>
                </pt>
              </numCache>
            </numRef>
          </val>
        </ser>
        <ser>
          <idx val="13"/>
          <order val="13"/>
          <tx>
            <strRef>
              <f>'Injury Analysis'!$A$17</f>
              <strCache>
                <ptCount val="1"/>
                <pt idx="0">
                  <v xml:space="preserve">Hip </v>
                </pt>
              </strCache>
            </strRef>
          </tx>
          <spPr>
            <a:solidFill>
              <a:schemeClr val="accent2">
                <a:lumMod val="80000"/>
                <a:lumOff val="20000"/>
              </a:schemeClr>
            </a:solidFill>
            <a:ln>
              <a:noFill/>
              <a:prstDash val="solid"/>
            </a:ln>
            <a:sp3d/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'Injury Analysis'!$B$3</f>
              <strCache>
                <ptCount val="1"/>
                <pt idx="0">
                  <v>Count</v>
                </pt>
              </strCache>
            </strRef>
          </cat>
          <val>
            <numRef>
              <f>'Injury Analysis'!$B$17</f>
              <numCache>
                <formatCode>General</formatCode>
                <ptCount val="1"/>
                <pt idx="0">
                  <v>0</v>
                </pt>
              </numCache>
            </numRef>
          </val>
        </ser>
        <ser>
          <idx val="14"/>
          <order val="14"/>
          <tx>
            <strRef>
              <f>'Injury Analysis'!$A$18</f>
              <strCache>
                <ptCount val="1"/>
                <pt idx="0">
                  <v xml:space="preserve">Knee </v>
                </pt>
              </strCache>
            </strRef>
          </tx>
          <spPr>
            <a:solidFill>
              <a:schemeClr val="accent3">
                <a:lumMod val="80000"/>
                <a:lumOff val="20000"/>
              </a:schemeClr>
            </a:solidFill>
            <a:ln>
              <a:noFill/>
              <a:prstDash val="solid"/>
            </a:ln>
            <a:sp3d/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'Injury Analysis'!$B$3</f>
              <strCache>
                <ptCount val="1"/>
                <pt idx="0">
                  <v>Count</v>
                </pt>
              </strCache>
            </strRef>
          </cat>
          <val>
            <numRef>
              <f>'Injury Analysis'!$B$18</f>
              <numCache>
                <formatCode>General</formatCode>
                <ptCount val="1"/>
                <pt idx="0">
                  <v>5</v>
                </pt>
              </numCache>
            </numRef>
          </val>
        </ser>
        <ser>
          <idx val="15"/>
          <order val="15"/>
          <tx>
            <strRef>
              <f>'Injury Analysis'!$A$19</f>
              <strCache>
                <ptCount val="1"/>
                <pt idx="0">
                  <v xml:space="preserve">Ankle </v>
                </pt>
              </strCache>
            </strRef>
          </tx>
          <spPr>
            <a:solidFill>
              <a:schemeClr val="accent4">
                <a:lumMod val="80000"/>
                <a:lumOff val="20000"/>
              </a:schemeClr>
            </a:solidFill>
            <a:ln>
              <a:noFill/>
              <a:prstDash val="solid"/>
            </a:ln>
            <a:sp3d/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'Injury Analysis'!$B$3</f>
              <strCache>
                <ptCount val="1"/>
                <pt idx="0">
                  <v>Count</v>
                </pt>
              </strCache>
            </strRef>
          </cat>
          <val>
            <numRef>
              <f>'Injury Analysis'!$B$19</f>
              <numCache>
                <formatCode>General</formatCode>
                <ptCount val="1"/>
                <pt idx="0">
                  <v>4</v>
                </pt>
              </numCache>
            </numRef>
          </val>
        </ser>
        <ser>
          <idx val="16"/>
          <order val="16"/>
          <tx>
            <strRef>
              <f>'Injury Analysis'!$A$20</f>
              <strCache>
                <ptCount val="1"/>
                <pt idx="0">
                  <v xml:space="preserve">Foot </v>
                </pt>
              </strCache>
            </strRef>
          </tx>
          <spPr>
            <a:solidFill>
              <a:schemeClr val="accent5">
                <a:lumMod val="80000"/>
                <a:lumOff val="20000"/>
              </a:schemeClr>
            </a:solidFill>
            <a:ln>
              <a:noFill/>
              <a:prstDash val="solid"/>
            </a:ln>
            <a:sp3d/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'Injury Analysis'!$B$3</f>
              <strCache>
                <ptCount val="1"/>
                <pt idx="0">
                  <v>Count</v>
                </pt>
              </strCache>
            </strRef>
          </cat>
          <val>
            <numRef>
              <f>'Injury Analysis'!$B$20</f>
              <numCache>
                <formatCode>General</formatCode>
                <ptCount val="1"/>
                <pt idx="0">
                  <v>2</v>
                </pt>
              </numCache>
            </numRef>
          </val>
        </ser>
        <ser>
          <idx val="17"/>
          <order val="17"/>
          <tx>
            <strRef>
              <f>'Injury Analysis'!$A$21</f>
              <strCache>
                <ptCount val="1"/>
                <pt idx="0">
                  <v xml:space="preserve">Lower limb </v>
                </pt>
              </strCache>
            </strRef>
          </tx>
          <spPr>
            <a:solidFill>
              <a:schemeClr val="accent6">
                <a:lumMod val="80000"/>
                <a:lumOff val="20000"/>
              </a:schemeClr>
            </a:solidFill>
            <a:ln>
              <a:noFill/>
              <a:prstDash val="solid"/>
            </a:ln>
            <a:sp3d/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'Injury Analysis'!$B$3</f>
              <strCache>
                <ptCount val="1"/>
                <pt idx="0">
                  <v>Count</v>
                </pt>
              </strCache>
            </strRef>
          </cat>
          <val>
            <numRef>
              <f>'Injury Analysis'!$B$21</f>
              <numCache>
                <formatCode>General</formatCode>
                <ptCount val="1"/>
                <pt idx="0">
                  <v>2</v>
                </pt>
              </numCache>
            </numRef>
          </val>
        </ser>
        <ser>
          <idx val="18"/>
          <order val="18"/>
          <tx>
            <strRef>
              <f>'Injury Analysis'!$A$22</f>
              <strCache>
                <ptCount val="1"/>
                <pt idx="0">
                  <v xml:space="preserve">General </v>
                </pt>
              </strCache>
            </strRef>
          </tx>
          <spPr>
            <a:solidFill>
              <a:schemeClr val="accent1">
                <a:lumMod val="80000"/>
              </a:schemeClr>
            </a:solidFill>
            <a:ln>
              <a:noFill/>
              <a:prstDash val="solid"/>
            </a:ln>
            <a:sp3d/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'Injury Analysis'!$B$3</f>
              <strCache>
                <ptCount val="1"/>
                <pt idx="0">
                  <v>Count</v>
                </pt>
              </strCache>
            </strRef>
          </cat>
          <val>
            <numRef>
              <f>'Injury Analysis'!$B$22</f>
              <numCache>
                <formatCode>General</formatCode>
                <ptCount val="1"/>
                <pt idx="0">
                  <v>0</v>
                </pt>
              </numCache>
            </numRef>
          </val>
        </ser>
        <ser>
          <idx val="19"/>
          <order val="19"/>
          <tx>
            <strRef>
              <f>'Injury Analysis'!$A$23</f>
              <strCache>
                <ptCount val="1"/>
                <pt idx="0">
                  <v xml:space="preserve">Medical </v>
                </pt>
              </strCache>
            </strRef>
          </tx>
          <spPr>
            <a:solidFill>
              <a:schemeClr val="accent2">
                <a:lumMod val="80000"/>
              </a:schemeClr>
            </a:solidFill>
            <a:ln>
              <a:noFill/>
              <a:prstDash val="solid"/>
            </a:ln>
            <a:sp3d/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'Injury Analysis'!$B$3</f>
              <strCache>
                <ptCount val="1"/>
                <pt idx="0">
                  <v>Count</v>
                </pt>
              </strCache>
            </strRef>
          </cat>
          <val>
            <numRef>
              <f>'Injury Analysis'!$B$23</f>
              <numCache>
                <formatCode>General</formatCode>
                <ptCount val="1"/>
                <pt idx="0">
                  <v>1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150"/>
        <gapDepth val="150"/>
        <shape val="box"/>
        <axId val="10"/>
        <axId val="100"/>
        <axId val="1000"/>
      </bar3D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0"/>
        <crosses val="autoZero"/>
        <auto val="0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"/>
        <crosses val="autoZero"/>
        <crossBetween val="between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800" b="1" i="0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Injury Mechanisms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800" b="1" i="0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view3D>
      <rotX val="15"/>
      <rotY val="20"/>
      <rAngAx val="1"/>
    </view3D>
    <floor>
      <thickness val="0"/>
      <spPr>
        <a:noFill/>
        <a:ln>
          <a:noFill/>
          <a:prstDash val="solid"/>
        </a:ln>
        <a:sp3d/>
      </spPr>
    </floor>
    <sideWall>
      <thickness val="0"/>
      <spPr>
        <a:noFill/>
        <a:ln>
          <a:noFill/>
          <a:prstDash val="solid"/>
        </a:ln>
        <a:sp3d/>
      </spPr>
    </sideWall>
    <backWall>
      <thickness val="0"/>
      <spPr>
        <a:noFill/>
        <a:ln>
          <a:noFill/>
          <a:prstDash val="solid"/>
        </a:ln>
        <a:sp3d/>
      </spPr>
    </backWall>
    <plotArea>
      <layout/>
      <bar3DChart>
        <barDir val="col"/>
        <grouping val="clustered"/>
        <varyColors val="0"/>
        <ser>
          <idx val="0"/>
          <order val="0"/>
          <tx>
            <strRef>
              <f>'Mechanism Analysis'!$B$3</f>
              <strCache>
                <ptCount val="1"/>
                <pt idx="0">
                  <v>Count</v>
                </pt>
              </strCache>
            </strRef>
          </tx>
          <spPr>
            <a:gradFill>
              <a:gsLst>
                <a:gs pos="100000">
                  <a:schemeClr val="accent1">
                    <a:alpha val="0"/>
                  </a:schemeClr>
                </a:gs>
                <a:gs pos="50000">
                  <a:schemeClr val="accent1"/>
                </a:gs>
              </a:gsLst>
              <a:lin ang="5400000" scaled="0"/>
            </a:gradFill>
            <a:ln>
              <a:noFill/>
              <a:prstDash val="solid"/>
            </a:ln>
            <a:sp3d/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'Mechanism Analysis'!$A$4:$A$24</f>
              <strCache>
                <ptCount val="21"/>
                <pt idx="0">
                  <v>Player-to-Player</v>
                </pt>
                <pt idx="1">
                  <v>Player-to-Object</v>
                </pt>
                <pt idx="2">
                  <v>Struck by Equipment</v>
                </pt>
                <pt idx="3">
                  <v>Slips, Trips and falls</v>
                </pt>
                <pt idx="4">
                  <v>Falls from Height</v>
                </pt>
                <pt idx="5">
                  <v>Muscle Strains</v>
                </pt>
                <pt idx="6">
                  <v>Heat-Related</v>
                </pt>
                <pt idx="7">
                  <v>Stress Fractures</v>
                </pt>
                <pt idx="8">
                  <v>Tendonitis</v>
                </pt>
                <pt idx="9">
                  <v>Incorrect Use</v>
                </pt>
                <pt idx="10">
                  <v>Malfunction</v>
                </pt>
                <pt idx="11">
                  <v>Poor Lighting</v>
                </pt>
                <pt idx="12">
                  <v>Inadequate Signage</v>
                </pt>
                <pt idx="13">
                  <v>Cleaning Agents</v>
                </pt>
                <pt idx="14">
                  <v>Infections</v>
                </pt>
                <pt idx="15">
                  <v>Allergies</v>
                </pt>
                <pt idx="16">
                  <v>Harassment or Bullying</v>
                </pt>
                <pt idx="17">
                  <v>Performance Pressure</v>
                </pt>
                <pt idx="18">
                  <v>Assault</v>
                </pt>
                <pt idx="19">
                  <v>Theft</v>
                </pt>
                <pt idx="20">
                  <v>Medical</v>
                </pt>
              </strCache>
            </strRef>
          </cat>
          <val>
            <numRef>
              <f>'Mechanism Analysis'!$B$4:$B$24</f>
              <numCache>
                <formatCode>General</formatCode>
                <ptCount val="21"/>
                <pt idx="0">
                  <v>12</v>
                </pt>
                <pt idx="1">
                  <v>2</v>
                </pt>
                <pt idx="2">
                  <v>2</v>
                </pt>
                <pt idx="3">
                  <v>6</v>
                </pt>
                <pt idx="4">
                  <v>0</v>
                </pt>
                <pt idx="5">
                  <v>4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150"/>
        <gapDepth val="0"/>
        <shape val="box"/>
        <axId val="10"/>
        <axId val="100"/>
        <axId val="1000"/>
      </bar3D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0"/>
        <crosses val="autoZero"/>
        <auto val="0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"/>
        <crosses val="autoZero"/>
        <crossBetween val="between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ZA"/>
              <a:t>Incidents by Time of Day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strRef>
              <f>'Time Analysis'!$C$3</f>
              <strCache>
                <ptCount val="1"/>
                <pt idx="0">
                  <v>Count</v>
                </pt>
              </strCache>
            </strRef>
          </tx>
          <spPr>
            <a:ln>
              <a:prstDash val="solid"/>
            </a:ln>
          </spPr>
          <invertIfNegative val="0"/>
          <cat>
            <multiLvlStrRef>
              <multiLvlStrCache>
                <lvl>
                  <pt idx="0">
                    <v>6:00 - 11:59</v>
                  </pt>
                  <pt idx="1">
                    <v>12:00 - 17:59</v>
                  </pt>
                  <pt idx="2">
                    <v>18:00 - 21:59</v>
                  </pt>
                  <pt idx="3">
                    <v>22:00 - 5:59</v>
                  </pt>
                </lvl>
                <lvl>
                  <pt idx="0">
                    <v>Morning</v>
                  </pt>
                  <pt idx="1">
                    <v>Afternoon</v>
                  </pt>
                  <pt idx="2">
                    <v>Evening</v>
                  </pt>
                  <pt idx="3">
                    <v>Night</v>
                  </pt>
                </lvl>
              </multiLvlStrCache>
              <f>'Time Analysis'!$A$4:$B$7</f>
            </multiLvlStrRef>
          </cat>
          <val>
            <numRef>
              <f>'Time Analysis'!$C$4:$C$7</f>
              <numCache>
                <formatCode>General</formatCode>
                <ptCount val="4"/>
                <pt idx="0">
                  <v>4</v>
                </pt>
                <pt idx="1">
                  <v>12</v>
                </pt>
                <pt idx="2">
                  <v>0</v>
                </pt>
                <pt idx="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crossAx val="100"/>
        <crosses val="autoZero"/>
        <auto val="0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Monthly Incident Trend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tx>
            <strRef>
              <f>'Monthly Stats'!$B$3</f>
              <strCache>
                <ptCount val="1"/>
                <pt idx="0">
                  <v>Total Cases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'Monthly Stats'!$A$4:$A$27</f>
              <strCache>
                <ptCount val="24"/>
                <pt idx="0">
                  <v>Jan-24</v>
                </pt>
                <pt idx="1">
                  <v>Feb-24</v>
                </pt>
                <pt idx="2">
                  <v>Mar-24</v>
                </pt>
                <pt idx="3">
                  <v>Apr-24</v>
                </pt>
                <pt idx="4">
                  <v>May-24</v>
                </pt>
                <pt idx="5">
                  <v>Jun-24</v>
                </pt>
                <pt idx="6">
                  <v>Jul-24</v>
                </pt>
                <pt idx="7">
                  <v>Aug-24</v>
                </pt>
                <pt idx="8">
                  <v>Sep-24</v>
                </pt>
                <pt idx="9">
                  <v>Oct-24</v>
                </pt>
                <pt idx="10">
                  <v>Nov-24</v>
                </pt>
                <pt idx="11">
                  <v>Dec-24</v>
                </pt>
                <pt idx="12">
                  <v>Jan-25</v>
                </pt>
                <pt idx="13">
                  <v>Feb-25</v>
                </pt>
                <pt idx="14">
                  <v>Mar-25</v>
                </pt>
                <pt idx="15">
                  <v>Apr-25</v>
                </pt>
                <pt idx="16">
                  <v>May-25</v>
                </pt>
                <pt idx="17">
                  <v>Jun-25</v>
                </pt>
                <pt idx="18">
                  <v>Jul-25</v>
                </pt>
                <pt idx="19">
                  <v>Aug-25</v>
                </pt>
                <pt idx="20">
                  <v>Sep-25</v>
                </pt>
                <pt idx="21">
                  <v>Oct-25</v>
                </pt>
                <pt idx="22">
                  <v>Nov-25</v>
                </pt>
                <pt idx="23">
                  <v>Dec-25</v>
                </pt>
              </strCache>
            </strRef>
          </cat>
          <val>
            <numRef>
              <f>'Monthly Stats'!$B$4:$B$27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16</v>
                </pt>
                <pt idx="21">
                  <v>11</v>
                </pt>
                <pt idx="22">
                  <v>0</v>
                </pt>
                <pt idx="23">
                  <v>0</v>
                </pt>
              </numCache>
            </numRef>
          </val>
          <smooth val="0"/>
        </ser>
        <dLbls>
          <dLblPos val="t"/>
          <showLegendKey val="0"/>
          <showVal val="1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0"/>
        <crosses val="autoZero"/>
        <auto val="0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28575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26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26</row>
      <rowOff>0</rowOff>
    </from>
    <ext cx="540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43</row>
      <rowOff>0</rowOff>
    </from>
    <ext cx="5400000" cy="27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7</col>
      <colOff>0</colOff>
      <row>43</row>
      <rowOff>0</rowOff>
    </from>
    <ext cx="5400000" cy="27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ables/table1.xml><?xml version="1.0" encoding="utf-8"?>
<table xmlns="http://schemas.openxmlformats.org/spreadsheetml/2006/main" id="1" name="MedicalData" displayName="MedicalData" ref="A1:P356" headerRowCount="1">
  <autoFilter ref="A1:P356"/>
  <tableColumns count="16">
    <tableColumn id="1" name="Date"/>
    <tableColumn id="2" name="Time"/>
    <tableColumn id="3" name="Age"/>
    <tableColumn id="4" name="History/Mechanism of injury"/>
    <tableColumn id="5" name="Cause of injury"/>
    <tableColumn id="6" name="Site"/>
    <tableColumn id="7" name="Type of program"/>
    <tableColumn id="8" name="Specific injuries treated"/>
    <tableColumn id="9" name="Priority Of Pt"/>
    <tableColumn id="10" name="Hospital Transportation"/>
    <tableColumn id="11" name="Month">
      <calculatedColumnFormula>TEXT(A2,"MMM-YY")</calculatedColumnFormula>
    </tableColumn>
    <tableColumn id="12" name="Hour">
      <calculatedColumnFormula>HOUR(MedicalData[[#This Row],[Time]])</calculatedColumnFormula>
    </tableColumn>
    <tableColumn id="13" name="Time Period">
      <calculatedColumnFormula>  IF(_xleta.HOUR&lt;6,"Night",IF(_xleta.HOUR&lt;12,"Morning",IF(_xleta.HOUR&lt;18,"Afternoon","Evening")))</calculatedColumnFormula>
    </tableColumn>
    <tableColumn id="14" name="Day of Week">
      <calculatedColumnFormula>TEXT(#REF!,"DDD")</calculatedColumnFormula>
    </tableColumn>
    <tableColumn id="15" name="Week Number">
      <calculatedColumnFormula>WEEKNUM(#REF!)</calculatedColumnFormula>
    </tableColumn>
    <tableColumn id="16" name="Quarter">
      <calculatedColumnFormula>INDEX({"Q3","Q3","Q4","Q4","Q4","Q1","Q1","Q1","Q2","Q2","Q2","Q3"},MONTH(#REF!))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56"/>
  <sheetViews>
    <sheetView workbookViewId="0">
      <pane ySplit="1" topLeftCell="A2" activePane="bottomLeft" state="frozen"/>
      <selection pane="bottomLeft" activeCell="A29" sqref="A29"/>
    </sheetView>
  </sheetViews>
  <sheetFormatPr baseColWidth="8" defaultRowHeight="15"/>
  <cols>
    <col width="12" customWidth="1" style="21" min="1" max="1"/>
    <col width="10" customWidth="1" style="21" min="2" max="2"/>
    <col width="8" customWidth="1" style="21" min="3" max="3"/>
    <col width="24.85546875" customWidth="1" style="21" min="4" max="4"/>
    <col width="18" customWidth="1" style="21" min="5" max="6"/>
    <col width="20" customWidth="1" style="21" min="7" max="7"/>
    <col width="21.28515625" customWidth="1" style="21" min="8" max="8"/>
    <col width="5.42578125" customWidth="1" style="21" min="9" max="9"/>
    <col width="5.5703125" customWidth="1" style="21" min="10" max="10"/>
    <col width="12" customWidth="1" style="21" min="11" max="11"/>
    <col width="8" customWidth="1" style="21" min="12" max="12"/>
    <col width="14" customWidth="1" style="21" min="13" max="14"/>
    <col width="12" customWidth="1" style="21" min="15" max="15"/>
    <col width="13.28515625" customWidth="1" style="21" min="23" max="23"/>
  </cols>
  <sheetData>
    <row r="1">
      <c r="A1" t="inlineStr">
        <is>
          <t>Date</t>
        </is>
      </c>
      <c r="B1" t="inlineStr">
        <is>
          <t>Time</t>
        </is>
      </c>
      <c r="C1" t="inlineStr">
        <is>
          <t>Age</t>
        </is>
      </c>
      <c r="D1" t="inlineStr">
        <is>
          <t>History/Mechanism of injury</t>
        </is>
      </c>
      <c r="E1" t="inlineStr">
        <is>
          <t>Cause of injury</t>
        </is>
      </c>
      <c r="F1" t="inlineStr">
        <is>
          <t>Site</t>
        </is>
      </c>
      <c r="G1" t="inlineStr">
        <is>
          <t>Type of program</t>
        </is>
      </c>
      <c r="H1" t="inlineStr">
        <is>
          <t>Specific injuries treated</t>
        </is>
      </c>
      <c r="I1" t="inlineStr">
        <is>
          <t>Priority Of Pt</t>
        </is>
      </c>
      <c r="J1" t="inlineStr">
        <is>
          <t>Hospital Transportation</t>
        </is>
      </c>
      <c r="K1" t="inlineStr">
        <is>
          <t>Month</t>
        </is>
      </c>
      <c r="L1" t="inlineStr">
        <is>
          <t>Hour</t>
        </is>
      </c>
      <c r="M1" t="inlineStr">
        <is>
          <t>Time Period</t>
        </is>
      </c>
      <c r="N1" t="inlineStr">
        <is>
          <t>Day of Week</t>
        </is>
      </c>
      <c r="O1" t="inlineStr">
        <is>
          <t>Week Number</t>
        </is>
      </c>
      <c r="P1" t="inlineStr">
        <is>
          <t>Quarter</t>
        </is>
      </c>
      <c r="W1" t="inlineStr">
        <is>
          <t>Date</t>
        </is>
      </c>
      <c r="X1" t="inlineStr">
        <is>
          <t xml:space="preserve">Program type </t>
        </is>
      </c>
      <c r="Y1" t="inlineStr">
        <is>
          <t>Quarter</t>
        </is>
      </c>
    </row>
    <row r="2">
      <c r="A2" s="18" t="n">
        <v>45902</v>
      </c>
      <c r="B2" s="15" t="n">
        <v>0.6944444444444444</v>
      </c>
      <c r="C2" t="n">
        <v>22</v>
      </c>
      <c r="D2" t="inlineStr">
        <is>
          <t>Player-to-Player</t>
        </is>
      </c>
      <c r="E2" t="inlineStr">
        <is>
          <t xml:space="preserve">Activity </t>
        </is>
      </c>
      <c r="F2" t="inlineStr">
        <is>
          <t xml:space="preserve">5 A side </t>
        </is>
      </c>
      <c r="G2" t="inlineStr">
        <is>
          <t xml:space="preserve">Afternoon Program </t>
        </is>
      </c>
      <c r="H2" t="inlineStr">
        <is>
          <t xml:space="preserve">Arm </t>
        </is>
      </c>
      <c r="I2" t="inlineStr">
        <is>
          <t>P3</t>
        </is>
      </c>
      <c r="J2" t="inlineStr">
        <is>
          <t>NO</t>
        </is>
      </c>
      <c r="K2">
        <f>TEXT(A2,"MMM-YY")</f>
        <v/>
      </c>
      <c r="L2">
        <f>HOUR(B2)</f>
        <v/>
      </c>
      <c r="M2">
        <f>IF(L2&lt;6,"Night",IF(L2&lt;12,"Morning",IF(L2&lt;18,"Afternoon","Evening")))</f>
        <v/>
      </c>
      <c r="N2">
        <f>TEXT(A2,"DDD")</f>
        <v/>
      </c>
      <c r="O2">
        <f>WEEKNUM(A2)</f>
        <v/>
      </c>
      <c r="P2">
        <f>INDEX({"Q1","Q1","Q1","Q2","Q2","Q2","Q3","Q3","Q3","Q4","Q4","Q4"},MONTH(A2))</f>
        <v/>
      </c>
      <c r="U2" t="inlineStr">
        <is>
          <t xml:space="preserve">Priority of patient </t>
        </is>
      </c>
      <c r="W2" s="19" t="n">
        <v>45931</v>
      </c>
      <c r="X2" t="inlineStr">
        <is>
          <t xml:space="preserve">Bystander </t>
        </is>
      </c>
      <c r="Y2">
        <f>INDEX({"Q3","Q3","Q4","Q4","Q4","Q1","Q1","Q1","Q2","Q2","Q2","Q3"},MONTH(#REF!))</f>
        <v/>
      </c>
      <c r="Z2" t="inlineStr">
        <is>
          <t xml:space="preserve">Activity </t>
        </is>
      </c>
    </row>
    <row r="3">
      <c r="A3" s="18" t="n">
        <v>45906</v>
      </c>
      <c r="B3" s="15" t="n">
        <v>0.5590277777777778</v>
      </c>
      <c r="C3" t="n">
        <v>10</v>
      </c>
      <c r="D3" t="inlineStr">
        <is>
          <t>Player-to-Player</t>
        </is>
      </c>
      <c r="E3" t="inlineStr">
        <is>
          <t xml:space="preserve">Activity </t>
        </is>
      </c>
      <c r="F3" t="inlineStr">
        <is>
          <t xml:space="preserve">5 A side </t>
        </is>
      </c>
      <c r="G3" t="inlineStr">
        <is>
          <t>Open Play</t>
        </is>
      </c>
      <c r="H3" t="inlineStr">
        <is>
          <t xml:space="preserve">Knee </t>
        </is>
      </c>
      <c r="I3" t="inlineStr">
        <is>
          <t>P3</t>
        </is>
      </c>
      <c r="J3" t="inlineStr">
        <is>
          <t>NO</t>
        </is>
      </c>
      <c r="K3">
        <f>TEXT(A3,"MMM-YY")</f>
        <v/>
      </c>
      <c r="L3">
        <f>HOUR(B3)</f>
        <v/>
      </c>
      <c r="M3">
        <f>IF(L3&lt;6,"Night",IF(L3&lt;12,"Morning",IF(L3&lt;18,"Afternoon","Evening")))</f>
        <v/>
      </c>
      <c r="N3">
        <f>TEXT(A3,"DDD")</f>
        <v/>
      </c>
      <c r="O3">
        <f>WEEKNUM(A3)</f>
        <v/>
      </c>
      <c r="P3">
        <f>INDEX({"Q1","Q1","Q1","Q2","Q2","Q2","Q3","Q3","Q3","Q4","Q4","Q4"},MONTH(A3))</f>
        <v/>
      </c>
      <c r="U3" t="inlineStr">
        <is>
          <t>P1</t>
        </is>
      </c>
      <c r="W3" s="19" t="n">
        <v>45932</v>
      </c>
      <c r="X3" t="inlineStr">
        <is>
          <t>Training</t>
        </is>
      </c>
      <c r="Z3" t="inlineStr">
        <is>
          <t xml:space="preserve">Equipment </t>
        </is>
      </c>
    </row>
    <row r="4">
      <c r="A4" s="18" t="n">
        <v>45907</v>
      </c>
      <c r="B4" s="15" t="n">
        <v>0.5277777777777778</v>
      </c>
      <c r="C4" t="n">
        <v>15</v>
      </c>
      <c r="D4" t="inlineStr">
        <is>
          <t>Slips, Trips and falls</t>
        </is>
      </c>
      <c r="E4" t="inlineStr">
        <is>
          <t xml:space="preserve">Activity </t>
        </is>
      </c>
      <c r="F4" t="inlineStr">
        <is>
          <t xml:space="preserve">11- A side </t>
        </is>
      </c>
      <c r="G4" t="inlineStr">
        <is>
          <t>Open Play</t>
        </is>
      </c>
      <c r="H4" t="inlineStr">
        <is>
          <t xml:space="preserve">Elbow </t>
        </is>
      </c>
      <c r="I4" t="inlineStr">
        <is>
          <t>P3</t>
        </is>
      </c>
      <c r="J4" t="inlineStr">
        <is>
          <t>NO</t>
        </is>
      </c>
      <c r="K4">
        <f>TEXT(A4,"MMM-YY")</f>
        <v/>
      </c>
      <c r="L4">
        <f>HOUR(B4)</f>
        <v/>
      </c>
      <c r="M4">
        <f>IF(L4&lt;6,"Night",IF(L4&lt;12,"Morning",IF(L4&lt;18,"Afternoon","Evening")))</f>
        <v/>
      </c>
      <c r="N4">
        <f>TEXT(A4,"DDD")</f>
        <v/>
      </c>
      <c r="O4">
        <f>WEEKNUM(A4)</f>
        <v/>
      </c>
      <c r="P4">
        <f>INDEX({"Q1","Q1","Q1","Q2","Q2","Q2","Q3","Q3","Q3","Q4","Q4","Q4"},MONTH(A4))</f>
        <v/>
      </c>
      <c r="U4" t="inlineStr">
        <is>
          <t>P2</t>
        </is>
      </c>
      <c r="W4" s="19" t="n">
        <v>45933</v>
      </c>
      <c r="X4" t="inlineStr">
        <is>
          <t>Yoga</t>
        </is>
      </c>
      <c r="Z4" t="inlineStr">
        <is>
          <t xml:space="preserve">Enviroment </t>
        </is>
      </c>
    </row>
    <row r="5">
      <c r="A5" s="18" t="n">
        <v>45907</v>
      </c>
      <c r="B5" s="15" t="n">
        <v>0.5763888888888888</v>
      </c>
      <c r="C5" t="n">
        <v>15</v>
      </c>
      <c r="D5" t="inlineStr">
        <is>
          <t>Player-to-Player</t>
        </is>
      </c>
      <c r="E5" t="inlineStr">
        <is>
          <t xml:space="preserve">Activity </t>
        </is>
      </c>
      <c r="F5" t="inlineStr">
        <is>
          <t xml:space="preserve">11- A side </t>
        </is>
      </c>
      <c r="G5" t="inlineStr">
        <is>
          <t>Open Play</t>
        </is>
      </c>
      <c r="H5" t="inlineStr">
        <is>
          <t xml:space="preserve">Knee </t>
        </is>
      </c>
      <c r="I5" t="inlineStr">
        <is>
          <t>P3</t>
        </is>
      </c>
      <c r="J5" t="inlineStr">
        <is>
          <t>NO</t>
        </is>
      </c>
      <c r="K5">
        <f>TEXT(A5,"MMM-YY")</f>
        <v/>
      </c>
      <c r="L5">
        <f>HOUR(B5)</f>
        <v/>
      </c>
      <c r="M5">
        <f>IF(L5&lt;6,"Night",IF(L5&lt;12,"Morning",IF(L5&lt;18,"Afternoon","Evening")))</f>
        <v/>
      </c>
      <c r="N5">
        <f>TEXT(A5,"DDD")</f>
        <v/>
      </c>
      <c r="O5">
        <f>WEEKNUM(A5)</f>
        <v/>
      </c>
      <c r="P5">
        <f>INDEX({"Q1","Q1","Q1","Q2","Q2","Q2","Q3","Q3","Q3","Q4","Q4","Q4"},MONTH(A5))</f>
        <v/>
      </c>
      <c r="U5" t="inlineStr">
        <is>
          <t>P3</t>
        </is>
      </c>
      <c r="W5" s="19" t="n">
        <v>45934</v>
      </c>
      <c r="X5" t="inlineStr">
        <is>
          <t>Girl Skate</t>
        </is>
      </c>
      <c r="Z5" t="inlineStr">
        <is>
          <t>NONE SPORTS CENTER</t>
        </is>
      </c>
    </row>
    <row r="6">
      <c r="A6" s="18" t="n">
        <v>45907</v>
      </c>
      <c r="B6" s="15" t="n">
        <v>0.65</v>
      </c>
      <c r="C6" t="n">
        <v>14</v>
      </c>
      <c r="D6" t="inlineStr">
        <is>
          <t>Slips, Trips and falls</t>
        </is>
      </c>
      <c r="E6" t="inlineStr">
        <is>
          <t>NONE SPORTS CENTER</t>
        </is>
      </c>
      <c r="F6" t="inlineStr">
        <is>
          <t xml:space="preserve">11- A side </t>
        </is>
      </c>
      <c r="G6" t="inlineStr">
        <is>
          <t>NONE SPORTS CENTER</t>
        </is>
      </c>
      <c r="H6" t="inlineStr">
        <is>
          <t xml:space="preserve">Knee </t>
        </is>
      </c>
      <c r="I6" t="inlineStr">
        <is>
          <t>P3</t>
        </is>
      </c>
      <c r="J6" t="inlineStr">
        <is>
          <t>NO</t>
        </is>
      </c>
      <c r="K6">
        <f>TEXT(A6,"MMM-YY")</f>
        <v/>
      </c>
      <c r="L6">
        <f>HOUR(B6)</f>
        <v/>
      </c>
      <c r="M6">
        <f>IF(L6&lt;6,"Night",IF(L6&lt;12,"Morning",IF(L6&lt;18,"Afternoon","Evening")))</f>
        <v/>
      </c>
      <c r="N6">
        <f>TEXT(A6,"DDD")</f>
        <v/>
      </c>
      <c r="O6">
        <f>WEEKNUM(A6)</f>
        <v/>
      </c>
      <c r="P6">
        <f>INDEX({"Q1","Q1","Q1","Q2","Q2","Q2","Q3","Q3","Q3","Q4","Q4","Q4"},MONTH(A6))</f>
        <v/>
      </c>
      <c r="U6" t="inlineStr">
        <is>
          <t>P4</t>
        </is>
      </c>
      <c r="W6" s="19" t="n">
        <v>45935</v>
      </c>
      <c r="X6" t="inlineStr">
        <is>
          <t xml:space="preserve">Kicking Boxing </t>
        </is>
      </c>
    </row>
    <row r="7">
      <c r="A7" s="18" t="n">
        <v>45908</v>
      </c>
      <c r="B7" s="15" t="n">
        <v>0.6041666666666666</v>
      </c>
      <c r="C7" t="n">
        <v>19</v>
      </c>
      <c r="D7" t="inlineStr">
        <is>
          <t>Player-to-Player</t>
        </is>
      </c>
      <c r="E7" t="inlineStr">
        <is>
          <t xml:space="preserve">Activity </t>
        </is>
      </c>
      <c r="F7" t="inlineStr">
        <is>
          <t xml:space="preserve">11- A side </t>
        </is>
      </c>
      <c r="G7" t="inlineStr">
        <is>
          <t>Open Play</t>
        </is>
      </c>
      <c r="H7" t="inlineStr">
        <is>
          <t xml:space="preserve">Ankle </t>
        </is>
      </c>
      <c r="I7" t="inlineStr">
        <is>
          <t>P3</t>
        </is>
      </c>
      <c r="J7" t="inlineStr">
        <is>
          <t>NO</t>
        </is>
      </c>
      <c r="K7">
        <f>TEXT(A7,"MMM-YY")</f>
        <v/>
      </c>
      <c r="L7">
        <f>HOUR(B7)</f>
        <v/>
      </c>
      <c r="M7">
        <f>IF(L7&lt;6,"Night",IF(L7&lt;12,"Morning",IF(L7&lt;18,"Afternoon","Evening")))</f>
        <v/>
      </c>
      <c r="N7">
        <f>TEXT(A7,"DDD")</f>
        <v/>
      </c>
      <c r="O7">
        <f>WEEKNUM(A7)</f>
        <v/>
      </c>
      <c r="P7">
        <f>INDEX({"Q1","Q1","Q1","Q2","Q2","Q2","Q3","Q3","Q3","Q4","Q4","Q4"},MONTH(A7))</f>
        <v/>
      </c>
      <c r="U7" s="13" t="inlineStr">
        <is>
          <t>Hospital Transportation</t>
        </is>
      </c>
      <c r="W7" s="19" t="n">
        <v>45936</v>
      </c>
      <c r="X7" t="inlineStr">
        <is>
          <t xml:space="preserve">Running with the pack </t>
        </is>
      </c>
    </row>
    <row r="8">
      <c r="A8" s="18" t="n">
        <v>45908</v>
      </c>
      <c r="B8" s="15" t="n">
        <v>0.6666666666666666</v>
      </c>
      <c r="C8" t="n">
        <v>10</v>
      </c>
      <c r="D8" t="inlineStr">
        <is>
          <t>Slips, Trips and falls</t>
        </is>
      </c>
      <c r="E8" t="inlineStr">
        <is>
          <t xml:space="preserve">Activity </t>
        </is>
      </c>
      <c r="F8" t="inlineStr">
        <is>
          <t>Skate Park</t>
        </is>
      </c>
      <c r="G8" t="inlineStr">
        <is>
          <t>Girl Skate</t>
        </is>
      </c>
      <c r="H8" t="inlineStr">
        <is>
          <t xml:space="preserve">Shoulder </t>
        </is>
      </c>
      <c r="I8" t="inlineStr">
        <is>
          <t>P3</t>
        </is>
      </c>
      <c r="J8" t="inlineStr">
        <is>
          <t>NO</t>
        </is>
      </c>
      <c r="K8">
        <f>TEXT(A8,"MMM-YY")</f>
        <v/>
      </c>
      <c r="L8">
        <f>HOUR(B8)</f>
        <v/>
      </c>
      <c r="M8">
        <f>IF(L8&lt;6,"Night",IF(L8&lt;12,"Morning",IF(L8&lt;18,"Afternoon","Evening")))</f>
        <v/>
      </c>
      <c r="N8">
        <f>TEXT(A8,"DDD")</f>
        <v/>
      </c>
      <c r="O8">
        <f>WEEKNUM(A8)</f>
        <v/>
      </c>
      <c r="P8">
        <f>INDEX({"Q1","Q1","Q1","Q2","Q2","Q2","Q3","Q3","Q3","Q4","Q4","Q4"},MONTH(A8))</f>
        <v/>
      </c>
      <c r="U8" t="inlineStr">
        <is>
          <t>YES</t>
        </is>
      </c>
      <c r="W8" s="19" t="n">
        <v>45937</v>
      </c>
      <c r="X8" t="inlineStr">
        <is>
          <t xml:space="preserve">Dancing </t>
        </is>
      </c>
    </row>
    <row r="9">
      <c r="A9" s="18" t="n">
        <v>45914</v>
      </c>
      <c r="B9" s="15" t="n">
        <v>0.5416666666666666</v>
      </c>
      <c r="C9" t="n">
        <v>13</v>
      </c>
      <c r="D9" t="inlineStr">
        <is>
          <t>Medical</t>
        </is>
      </c>
      <c r="E9" t="inlineStr">
        <is>
          <t xml:space="preserve">Activity </t>
        </is>
      </c>
      <c r="F9" t="inlineStr">
        <is>
          <t xml:space="preserve">11- A side </t>
        </is>
      </c>
      <c r="G9" t="inlineStr">
        <is>
          <t>Open Play</t>
        </is>
      </c>
      <c r="H9" t="inlineStr">
        <is>
          <t xml:space="preserve">Medical </t>
        </is>
      </c>
      <c r="I9" t="inlineStr">
        <is>
          <t>P3</t>
        </is>
      </c>
      <c r="J9" t="inlineStr">
        <is>
          <t>NO</t>
        </is>
      </c>
      <c r="K9">
        <f>TEXT(A9,"MMM-YY")</f>
        <v/>
      </c>
      <c r="L9">
        <f>HOUR(B9)</f>
        <v/>
      </c>
      <c r="M9">
        <f>IF(L9&lt;6,"Night",IF(L9&lt;12,"Morning",IF(L9&lt;18,"Afternoon","Evening")))</f>
        <v/>
      </c>
      <c r="N9">
        <f>TEXT(A9,"DDD")</f>
        <v/>
      </c>
      <c r="O9">
        <f>WEEKNUM(A9)</f>
        <v/>
      </c>
      <c r="P9">
        <f>INDEX({"Q1","Q1","Q1","Q2","Q2","Q2","Q3","Q3","Q3","Q4","Q4","Q4"},MONTH(A9))</f>
        <v/>
      </c>
      <c r="U9" t="inlineStr">
        <is>
          <t>NO</t>
        </is>
      </c>
      <c r="W9" s="19" t="n">
        <v>45938</v>
      </c>
      <c r="X9" t="inlineStr">
        <is>
          <t xml:space="preserve">LFA </t>
        </is>
      </c>
    </row>
    <row r="10">
      <c r="A10" s="18" t="n">
        <v>45915</v>
      </c>
      <c r="B10" s="15" t="n">
        <v>0.5625</v>
      </c>
      <c r="C10" t="n">
        <v>19</v>
      </c>
      <c r="D10" t="inlineStr">
        <is>
          <t>Player-to-Player</t>
        </is>
      </c>
      <c r="E10" t="inlineStr">
        <is>
          <t xml:space="preserve">Activity </t>
        </is>
      </c>
      <c r="F10" t="inlineStr">
        <is>
          <t xml:space="preserve">5 A side </t>
        </is>
      </c>
      <c r="G10" t="inlineStr">
        <is>
          <t>Open Play</t>
        </is>
      </c>
      <c r="H10" t="inlineStr">
        <is>
          <t xml:space="preserve">Foot </t>
        </is>
      </c>
      <c r="I10" t="inlineStr">
        <is>
          <t>P3</t>
        </is>
      </c>
      <c r="J10" t="inlineStr">
        <is>
          <t>NO</t>
        </is>
      </c>
      <c r="K10">
        <f>TEXT(A10,"MMM-YY")</f>
        <v/>
      </c>
      <c r="L10">
        <f>HOUR(B10)</f>
        <v/>
      </c>
      <c r="M10">
        <f>IF(L10&lt;6,"Night",IF(L10&lt;12,"Morning",IF(L10&lt;18,"Afternoon","Evening")))</f>
        <v/>
      </c>
      <c r="N10">
        <f>TEXT(A10,"DDD")</f>
        <v/>
      </c>
      <c r="O10">
        <f>WEEKNUM(A10)</f>
        <v/>
      </c>
      <c r="P10">
        <f>INDEX({"Q1","Q1","Q1","Q2","Q2","Q2","Q3","Q3","Q3","Q4","Q4","Q4"},MONTH(A10))</f>
        <v/>
      </c>
      <c r="W10" s="19" t="n">
        <v>45939</v>
      </c>
      <c r="X10" t="inlineStr">
        <is>
          <t>Morning Show</t>
        </is>
      </c>
    </row>
    <row r="11">
      <c r="A11" s="18" t="n">
        <v>45919</v>
      </c>
      <c r="B11" s="15" t="n">
        <v>0.7006944444444444</v>
      </c>
      <c r="C11" t="n">
        <v>14</v>
      </c>
      <c r="D11" t="inlineStr">
        <is>
          <t>Struck by Equipment</t>
        </is>
      </c>
      <c r="E11" t="inlineStr">
        <is>
          <t xml:space="preserve">Activity </t>
        </is>
      </c>
      <c r="F11" t="inlineStr">
        <is>
          <t xml:space="preserve">11- A side </t>
        </is>
      </c>
      <c r="G11" t="inlineStr">
        <is>
          <t>Open Play</t>
        </is>
      </c>
      <c r="H11" t="inlineStr">
        <is>
          <t xml:space="preserve">Facial Injury </t>
        </is>
      </c>
      <c r="I11" t="inlineStr">
        <is>
          <t>P3</t>
        </is>
      </c>
      <c r="J11" t="inlineStr">
        <is>
          <t>NO</t>
        </is>
      </c>
      <c r="K11">
        <f>TEXT(A11,"MMM-YY")</f>
        <v/>
      </c>
      <c r="L11">
        <f>HOUR(B11)</f>
        <v/>
      </c>
      <c r="M11">
        <f>IF(L11&lt;6,"Night",IF(L11&lt;12,"Morning",IF(L11&lt;18,"Afternoon","Evening")))</f>
        <v/>
      </c>
      <c r="N11">
        <f>TEXT(A11,"DDD")</f>
        <v/>
      </c>
      <c r="O11">
        <f>WEEKNUM(A11)</f>
        <v/>
      </c>
      <c r="P11">
        <f>INDEX({"Q1","Q1","Q1","Q2","Q2","Q2","Q3","Q3","Q3","Q4","Q4","Q4"},MONTH(A11))</f>
        <v/>
      </c>
      <c r="W11" s="19" t="n">
        <v>45940</v>
      </c>
      <c r="X11" t="inlineStr">
        <is>
          <t xml:space="preserve">Her Game </t>
        </is>
      </c>
    </row>
    <row r="12">
      <c r="A12" s="18" t="n">
        <v>45921</v>
      </c>
      <c r="B12" s="15" t="n">
        <v>0.4375</v>
      </c>
      <c r="C12" t="n">
        <v>24</v>
      </c>
      <c r="D12" t="inlineStr">
        <is>
          <t>Muscle Strains</t>
        </is>
      </c>
      <c r="E12" t="inlineStr">
        <is>
          <t xml:space="preserve">Activity </t>
        </is>
      </c>
      <c r="F12" t="inlineStr">
        <is>
          <t xml:space="preserve">11- A side </t>
        </is>
      </c>
      <c r="G12" t="inlineStr">
        <is>
          <t>Open Play</t>
        </is>
      </c>
      <c r="H12" t="inlineStr">
        <is>
          <t xml:space="preserve">Lower limb </t>
        </is>
      </c>
      <c r="I12" t="inlineStr">
        <is>
          <t>P3</t>
        </is>
      </c>
      <c r="J12" t="inlineStr">
        <is>
          <t>NO</t>
        </is>
      </c>
      <c r="K12">
        <f>TEXT(A12,"MMM-YY")</f>
        <v/>
      </c>
      <c r="L12">
        <f>HOUR(B12)</f>
        <v/>
      </c>
      <c r="M12">
        <f>IF(L12&lt;6,"Night",IF(L12&lt;12,"Morning",IF(L12&lt;18,"Afternoon","Evening")))</f>
        <v/>
      </c>
      <c r="N12">
        <f>TEXT(A12,"DDD")</f>
        <v/>
      </c>
      <c r="O12">
        <f>WEEKNUM(A12)</f>
        <v/>
      </c>
      <c r="P12">
        <f>INDEX({"Q1","Q1","Q1","Q2","Q2","Q2","Q3","Q3","Q3","Q4","Q4","Q4"},MONTH(A12))</f>
        <v/>
      </c>
      <c r="W12" s="19" t="n">
        <v>45941</v>
      </c>
      <c r="X12" t="inlineStr">
        <is>
          <t xml:space="preserve">FNB Tournament </t>
        </is>
      </c>
    </row>
    <row r="13">
      <c r="A13" s="18" t="n">
        <v>45921</v>
      </c>
      <c r="B13" s="15" t="n">
        <v>0.45</v>
      </c>
      <c r="C13" t="n">
        <v>14</v>
      </c>
      <c r="D13" t="inlineStr">
        <is>
          <t>Player-to-Player</t>
        </is>
      </c>
      <c r="E13" t="inlineStr">
        <is>
          <t xml:space="preserve">Activity </t>
        </is>
      </c>
      <c r="F13" t="inlineStr">
        <is>
          <t xml:space="preserve">11- A side </t>
        </is>
      </c>
      <c r="G13" t="inlineStr">
        <is>
          <t>Training</t>
        </is>
      </c>
      <c r="H13" t="inlineStr">
        <is>
          <t xml:space="preserve">Foot </t>
        </is>
      </c>
      <c r="I13" t="inlineStr">
        <is>
          <t>P3</t>
        </is>
      </c>
      <c r="J13" t="inlineStr">
        <is>
          <t>NO</t>
        </is>
      </c>
      <c r="K13">
        <f>TEXT(A13,"MMM-YY")</f>
        <v/>
      </c>
      <c r="L13">
        <f>HOUR(B13)</f>
        <v/>
      </c>
      <c r="M13">
        <f>IF(L13&lt;6,"Night",IF(L13&lt;12,"Morning",IF(L13&lt;18,"Afternoon","Evening")))</f>
        <v/>
      </c>
      <c r="N13">
        <f>TEXT(A13,"DDD")</f>
        <v/>
      </c>
      <c r="O13">
        <f>WEEKNUM(A13)</f>
        <v/>
      </c>
      <c r="P13">
        <f>INDEX({"Q1","Q1","Q1","Q2","Q2","Q2","Q3","Q3","Q3","Q4","Q4","Q4"},MONTH(A13))</f>
        <v/>
      </c>
      <c r="W13" s="19" t="n">
        <v>45942</v>
      </c>
      <c r="X13" t="inlineStr">
        <is>
          <t>OR Tambo Soncini Games</t>
        </is>
      </c>
    </row>
    <row r="14">
      <c r="A14" s="18" t="n">
        <v>45921</v>
      </c>
      <c r="B14" s="15" t="n">
        <v>0.45</v>
      </c>
      <c r="C14" t="n">
        <v>16</v>
      </c>
      <c r="D14" t="inlineStr">
        <is>
          <t>Player-to-Player</t>
        </is>
      </c>
      <c r="E14" t="inlineStr">
        <is>
          <t xml:space="preserve">Activity </t>
        </is>
      </c>
      <c r="F14" t="inlineStr">
        <is>
          <t xml:space="preserve">11- A side </t>
        </is>
      </c>
      <c r="G14" t="inlineStr">
        <is>
          <t>Open Play</t>
        </is>
      </c>
      <c r="H14" t="inlineStr">
        <is>
          <t xml:space="preserve">Ankle </t>
        </is>
      </c>
      <c r="I14" t="inlineStr">
        <is>
          <t>P3</t>
        </is>
      </c>
      <c r="J14" t="inlineStr">
        <is>
          <t>NO</t>
        </is>
      </c>
      <c r="K14">
        <f>TEXT(A14,"MMM-YY")</f>
        <v/>
      </c>
      <c r="L14">
        <f>HOUR(B14)</f>
        <v/>
      </c>
      <c r="M14">
        <f>IF(L14&lt;6,"Night",IF(L14&lt;12,"Morning",IF(L14&lt;18,"Afternoon","Evening")))</f>
        <v/>
      </c>
      <c r="N14">
        <f>TEXT(A14,"DDD")</f>
        <v/>
      </c>
      <c r="O14">
        <f>WEEKNUM(A14)</f>
        <v/>
      </c>
      <c r="P14">
        <f>INDEX({"Q1","Q1","Q1","Q2","Q2","Q2","Q3","Q3","Q3","Q4","Q4","Q4"},MONTH(A14))</f>
        <v/>
      </c>
      <c r="W14" s="19" t="n">
        <v>45943</v>
      </c>
      <c r="X14" t="inlineStr">
        <is>
          <t>Clinic Stix Morewa Challenge</t>
        </is>
      </c>
    </row>
    <row r="15">
      <c r="A15" s="18" t="n">
        <v>45923</v>
      </c>
      <c r="B15" s="15" t="n">
        <v>0.78125</v>
      </c>
      <c r="C15" t="n">
        <v>23</v>
      </c>
      <c r="D15" t="inlineStr">
        <is>
          <t>Muscle Strains</t>
        </is>
      </c>
      <c r="E15" t="inlineStr">
        <is>
          <t xml:space="preserve">Activity </t>
        </is>
      </c>
      <c r="F15" t="inlineStr">
        <is>
          <t>1KM RUN/WALK PATH</t>
        </is>
      </c>
      <c r="G15" t="inlineStr">
        <is>
          <t>Open Play</t>
        </is>
      </c>
      <c r="H15" t="inlineStr">
        <is>
          <t xml:space="preserve">Ankle </t>
        </is>
      </c>
      <c r="I15" t="inlineStr">
        <is>
          <t>P3</t>
        </is>
      </c>
      <c r="J15" t="inlineStr">
        <is>
          <t>NO</t>
        </is>
      </c>
      <c r="K15">
        <f>TEXT(A15,"MMM-YY")</f>
        <v/>
      </c>
      <c r="L15">
        <f>HOUR(B15)</f>
        <v/>
      </c>
      <c r="M15">
        <f>IF(L15&lt;6,"Night",IF(L15&lt;12,"Morning",IF(L15&lt;18,"Afternoon","Evening")))</f>
        <v/>
      </c>
      <c r="N15">
        <f>TEXT(A15,"DDD")</f>
        <v/>
      </c>
      <c r="O15">
        <f>WEEKNUM(A15)</f>
        <v/>
      </c>
      <c r="P15">
        <f>INDEX({"Q1","Q1","Q1","Q2","Q2","Q2","Q3","Q3","Q3","Q4","Q4","Q4"},MONTH(A15))</f>
        <v/>
      </c>
      <c r="W15" s="19" t="n">
        <v>45944</v>
      </c>
      <c r="X15" t="inlineStr">
        <is>
          <t xml:space="preserve">Discovery  Challenge </t>
        </is>
      </c>
    </row>
    <row r="16">
      <c r="A16" s="18" t="n">
        <v>45924</v>
      </c>
      <c r="B16" s="15" t="n">
        <v>0.4375</v>
      </c>
      <c r="C16" t="n">
        <v>22</v>
      </c>
      <c r="D16" t="inlineStr">
        <is>
          <t>Muscle Strains</t>
        </is>
      </c>
      <c r="E16" t="inlineStr">
        <is>
          <t xml:space="preserve">Activity </t>
        </is>
      </c>
      <c r="F16" t="inlineStr">
        <is>
          <t xml:space="preserve">11- A side </t>
        </is>
      </c>
      <c r="G16" t="inlineStr">
        <is>
          <t>Open Play</t>
        </is>
      </c>
      <c r="H16" t="inlineStr">
        <is>
          <t xml:space="preserve">Upper limb Muscle </t>
        </is>
      </c>
      <c r="I16" t="inlineStr">
        <is>
          <t>P3</t>
        </is>
      </c>
      <c r="J16" t="inlineStr">
        <is>
          <t>NO</t>
        </is>
      </c>
      <c r="K16">
        <f>TEXT(A16,"MMM-YY")</f>
        <v/>
      </c>
      <c r="L16">
        <f>HOUR(B16)</f>
        <v/>
      </c>
      <c r="M16">
        <f>IF(L16&lt;6,"Night",IF(L16&lt;12,"Morning",IF(L16&lt;18,"Afternoon","Evening")))</f>
        <v/>
      </c>
      <c r="N16">
        <f>TEXT(A16,"DDD")</f>
        <v/>
      </c>
      <c r="O16">
        <f>WEEKNUM(A16)</f>
        <v/>
      </c>
      <c r="P16">
        <f>INDEX({"Q1","Q1","Q1","Q2","Q2","Q2","Q3","Q3","Q3","Q4","Q4","Q4"},MONTH(A16))</f>
        <v/>
      </c>
      <c r="W16" s="19" t="n">
        <v>45945</v>
      </c>
      <c r="X16" t="inlineStr">
        <is>
          <t xml:space="preserve">Afternoon Program </t>
        </is>
      </c>
    </row>
    <row r="17">
      <c r="A17" s="18" t="n">
        <v>45925</v>
      </c>
      <c r="B17" s="15" t="n">
        <v>0.5</v>
      </c>
      <c r="C17" t="n">
        <v>21</v>
      </c>
      <c r="D17" t="inlineStr">
        <is>
          <t>Slips, Trips and falls</t>
        </is>
      </c>
      <c r="E17" t="inlineStr">
        <is>
          <t xml:space="preserve">Activity </t>
        </is>
      </c>
      <c r="F17" t="inlineStr">
        <is>
          <t>Basketball</t>
        </is>
      </c>
      <c r="G17" t="inlineStr">
        <is>
          <t>Open Play</t>
        </is>
      </c>
      <c r="H17" t="inlineStr">
        <is>
          <t xml:space="preserve">Ankle </t>
        </is>
      </c>
      <c r="I17" t="inlineStr">
        <is>
          <t>P3</t>
        </is>
      </c>
      <c r="J17" t="inlineStr">
        <is>
          <t>NO</t>
        </is>
      </c>
      <c r="K17">
        <f>TEXT(A17,"MMM-YY")</f>
        <v/>
      </c>
      <c r="L17">
        <f>HOUR(B17)</f>
        <v/>
      </c>
      <c r="M17">
        <f>IF(L17&lt;6,"Night",IF(L17&lt;12,"Morning",IF(L17&lt;18,"Afternoon","Evening")))</f>
        <v/>
      </c>
      <c r="N17">
        <f>TEXT(A17,"DDD")</f>
        <v/>
      </c>
      <c r="O17">
        <f>WEEKNUM(A17)</f>
        <v/>
      </c>
      <c r="P17">
        <f>INDEX({"Q1","Q1","Q1","Q2","Q2","Q2","Q3","Q3","Q3","Q4","Q4","Q4"},MONTH(A17))</f>
        <v/>
      </c>
      <c r="W17" s="19" t="n">
        <v>45946</v>
      </c>
      <c r="X17" t="inlineStr">
        <is>
          <t>Open Play</t>
        </is>
      </c>
    </row>
    <row r="18">
      <c r="A18" s="18" t="n">
        <v>45937</v>
      </c>
      <c r="B18" s="15" t="n">
        <v>0.5805555555555556</v>
      </c>
      <c r="C18" t="n">
        <v>13</v>
      </c>
      <c r="D18" t="inlineStr">
        <is>
          <t>Slips, Trips and falls</t>
        </is>
      </c>
      <c r="E18" t="inlineStr">
        <is>
          <t xml:space="preserve">Activity </t>
        </is>
      </c>
      <c r="F18" t="inlineStr">
        <is>
          <t xml:space="preserve">11- A side </t>
        </is>
      </c>
      <c r="G18" t="inlineStr">
        <is>
          <t>Training</t>
        </is>
      </c>
      <c r="H18" t="inlineStr">
        <is>
          <t xml:space="preserve">Hand </t>
        </is>
      </c>
      <c r="I18" t="inlineStr">
        <is>
          <t>P3</t>
        </is>
      </c>
      <c r="J18" t="inlineStr">
        <is>
          <t>NO</t>
        </is>
      </c>
      <c r="K18">
        <f>TEXT(A18,"MMM-YY")</f>
        <v/>
      </c>
      <c r="L18">
        <f>HOUR(B18)</f>
        <v/>
      </c>
      <c r="M18">
        <f>IF(L18&lt;6,"Night",IF(L18&lt;12,"Morning",IF(L18&lt;18,"Afternoon","Evening")))</f>
        <v/>
      </c>
      <c r="N18">
        <f>TEXT(A18,"DDD")</f>
        <v/>
      </c>
      <c r="O18">
        <f>WEEKNUM(A18)</f>
        <v/>
      </c>
      <c r="P18">
        <f>INDEX({"Q1","Q1","Q1","Q2","Q2","Q2","Q3","Q3","Q3","Q4","Q4","Q4"},MONTH(A18))</f>
        <v/>
      </c>
      <c r="W18" s="19" t="n">
        <v>45947</v>
      </c>
      <c r="X18" t="inlineStr">
        <is>
          <t xml:space="preserve">Cause  of injury </t>
        </is>
      </c>
    </row>
    <row r="19">
      <c r="A19" s="18" t="n">
        <v>45937</v>
      </c>
      <c r="B19" s="15" t="n">
        <v>0.6090277777777777</v>
      </c>
      <c r="C19" t="n">
        <v>14</v>
      </c>
      <c r="D19" t="inlineStr">
        <is>
          <t>Player-to-Player</t>
        </is>
      </c>
      <c r="E19" t="inlineStr">
        <is>
          <t xml:space="preserve">Activity </t>
        </is>
      </c>
      <c r="F19" t="inlineStr">
        <is>
          <t xml:space="preserve">11- A side </t>
        </is>
      </c>
      <c r="G19" t="inlineStr">
        <is>
          <t>Training</t>
        </is>
      </c>
      <c r="H19" t="inlineStr">
        <is>
          <t xml:space="preserve">Arm </t>
        </is>
      </c>
      <c r="I19" t="inlineStr">
        <is>
          <t>P3</t>
        </is>
      </c>
      <c r="J19" t="inlineStr">
        <is>
          <t>NO</t>
        </is>
      </c>
      <c r="K19">
        <f>TEXT(A19,"MMM-YY")</f>
        <v/>
      </c>
      <c r="L19">
        <f>HOUR(B19)</f>
        <v/>
      </c>
      <c r="M19">
        <f>IF(L19&lt;6,"Night",IF(L19&lt;12,"Morning",IF(L19&lt;18,"Afternoon","Evening")))</f>
        <v/>
      </c>
      <c r="N19">
        <f>TEXT(A19,"DDD")</f>
        <v/>
      </c>
      <c r="O19">
        <f>WEEKNUM(A19)</f>
        <v/>
      </c>
      <c r="P19">
        <f>INDEX({"Q1","Q1","Q1","Q2","Q2","Q2","Q3","Q3","Q3","Q4","Q4","Q4"},MONTH(A19))</f>
        <v/>
      </c>
      <c r="W19" s="19" t="n">
        <v>45948</v>
      </c>
      <c r="X19" t="inlineStr">
        <is>
          <t xml:space="preserve">Activity </t>
        </is>
      </c>
    </row>
    <row r="20">
      <c r="A20" s="18" t="n">
        <v>45938</v>
      </c>
      <c r="B20" s="15" t="n">
        <v>0.6388888888888888</v>
      </c>
      <c r="C20" t="n">
        <v>10</v>
      </c>
      <c r="D20" t="inlineStr">
        <is>
          <t>Player-to-Player</t>
        </is>
      </c>
      <c r="E20" t="inlineStr">
        <is>
          <t xml:space="preserve">Activity </t>
        </is>
      </c>
      <c r="F20" t="inlineStr">
        <is>
          <t>Athletics track</t>
        </is>
      </c>
      <c r="G20" t="inlineStr">
        <is>
          <t xml:space="preserve">Afternoon Program </t>
        </is>
      </c>
      <c r="H20" t="inlineStr">
        <is>
          <t xml:space="preserve">Facial Injury </t>
        </is>
      </c>
      <c r="I20" t="inlineStr">
        <is>
          <t>P3</t>
        </is>
      </c>
      <c r="J20" t="inlineStr">
        <is>
          <t>NO</t>
        </is>
      </c>
      <c r="K20">
        <f>TEXT(A20,"MMM-YY")</f>
        <v/>
      </c>
      <c r="L20">
        <f>HOUR(B20)</f>
        <v/>
      </c>
      <c r="M20">
        <f>IF(L20&lt;6,"Night",IF(L20&lt;12,"Morning",IF(L20&lt;18,"Afternoon","Evening")))</f>
        <v/>
      </c>
      <c r="N20">
        <f>TEXT(A20,"DDD")</f>
        <v/>
      </c>
      <c r="O20">
        <f>WEEKNUM(A20)</f>
        <v/>
      </c>
      <c r="P20">
        <f>INDEX({"Q1","Q1","Q1","Q2","Q2","Q2","Q3","Q3","Q3","Q4","Q4","Q4"},MONTH(A20))</f>
        <v/>
      </c>
      <c r="W20" s="19" t="n">
        <v>45949</v>
      </c>
      <c r="X20" t="inlineStr">
        <is>
          <t xml:space="preserve">Equipment </t>
        </is>
      </c>
    </row>
    <row r="21">
      <c r="A21" s="18" t="n">
        <v>45939</v>
      </c>
      <c r="B21" s="15" t="n">
        <v>0.5888888888888889</v>
      </c>
      <c r="C21" t="n">
        <v>15</v>
      </c>
      <c r="D21" t="inlineStr">
        <is>
          <t>Player-to-Object</t>
        </is>
      </c>
      <c r="E21" t="inlineStr">
        <is>
          <t xml:space="preserve">Equipment </t>
        </is>
      </c>
      <c r="F21" t="inlineStr">
        <is>
          <t xml:space="preserve">5 A side </t>
        </is>
      </c>
      <c r="G21" t="inlineStr">
        <is>
          <t>Open Play</t>
        </is>
      </c>
      <c r="H21" t="inlineStr">
        <is>
          <t xml:space="preserve">Wrist </t>
        </is>
      </c>
      <c r="I21" t="inlineStr">
        <is>
          <t>P3</t>
        </is>
      </c>
      <c r="J21" t="inlineStr">
        <is>
          <t>NO</t>
        </is>
      </c>
      <c r="K21">
        <f>TEXT(A21,"MMM-YY")</f>
        <v/>
      </c>
      <c r="L21">
        <f>HOUR(B21)</f>
        <v/>
      </c>
      <c r="M21">
        <f>IF(L21&lt;6,"Night",IF(L21&lt;12,"Morning",IF(L21&lt;18,"Afternoon","Evening")))</f>
        <v/>
      </c>
      <c r="N21">
        <f>TEXT(A21,"DDD")</f>
        <v/>
      </c>
      <c r="O21">
        <f>WEEKNUM(A21)</f>
        <v/>
      </c>
      <c r="P21">
        <f>INDEX({"Q1","Q1","Q1","Q2","Q2","Q2","Q3","Q3","Q3","Q4","Q4","Q4"},MONTH(A21))</f>
        <v/>
      </c>
      <c r="W21" s="19" t="n">
        <v>45950</v>
      </c>
      <c r="X21" t="inlineStr">
        <is>
          <t xml:space="preserve">Enviroment </t>
        </is>
      </c>
    </row>
    <row r="22">
      <c r="A22" s="18" t="n">
        <v>45940</v>
      </c>
      <c r="B22" s="15" t="n">
        <v>0.5854166666666667</v>
      </c>
      <c r="C22" t="n">
        <v>22</v>
      </c>
      <c r="D22" t="inlineStr">
        <is>
          <t>Player-to-Player</t>
        </is>
      </c>
      <c r="E22" t="inlineStr">
        <is>
          <t xml:space="preserve">Activity </t>
        </is>
      </c>
      <c r="F22" t="inlineStr">
        <is>
          <t>Outdoor gym</t>
        </is>
      </c>
      <c r="G22" t="inlineStr">
        <is>
          <t>Open Play</t>
        </is>
      </c>
      <c r="H22" t="inlineStr">
        <is>
          <t xml:space="preserve">Knee </t>
        </is>
      </c>
      <c r="I22" t="inlineStr">
        <is>
          <t>P3</t>
        </is>
      </c>
      <c r="J22" t="inlineStr">
        <is>
          <t>NO</t>
        </is>
      </c>
      <c r="K22">
        <f>TEXT(A22,"MMM-YY")</f>
        <v/>
      </c>
      <c r="L22">
        <f>HOUR(B22)</f>
        <v/>
      </c>
      <c r="M22">
        <f>IF(L22&lt;6,"Night",IF(L22&lt;12,"Morning",IF(L22&lt;18,"Afternoon","Evening")))</f>
        <v/>
      </c>
      <c r="N22">
        <f>TEXT(A22,"DDD")</f>
        <v/>
      </c>
      <c r="O22">
        <f>WEEKNUM(A22)</f>
        <v/>
      </c>
      <c r="P22">
        <f>INDEX({"Q1","Q1","Q1","Q2","Q2","Q2","Q3","Q3","Q3","Q4","Q4","Q4"},MONTH(A22))</f>
        <v/>
      </c>
      <c r="W22" s="19" t="n">
        <v>45951</v>
      </c>
      <c r="X22" t="inlineStr">
        <is>
          <t>NONE SPORTS CENTER</t>
        </is>
      </c>
    </row>
    <row r="23">
      <c r="A23" s="18" t="n">
        <v>45947</v>
      </c>
      <c r="B23" s="15" t="n">
        <v>0.5194444444444445</v>
      </c>
      <c r="C23" t="n">
        <v>19</v>
      </c>
      <c r="D23" t="inlineStr">
        <is>
          <t>Player-to-Player</t>
        </is>
      </c>
      <c r="E23" t="inlineStr">
        <is>
          <t xml:space="preserve">Activity </t>
        </is>
      </c>
      <c r="F23" t="inlineStr">
        <is>
          <t xml:space="preserve">11- A side </t>
        </is>
      </c>
      <c r="G23" t="inlineStr">
        <is>
          <t>Open Play</t>
        </is>
      </c>
      <c r="H23" t="inlineStr">
        <is>
          <t xml:space="preserve">Lower limb </t>
        </is>
      </c>
      <c r="I23" t="inlineStr">
        <is>
          <t>P3</t>
        </is>
      </c>
      <c r="J23" t="inlineStr">
        <is>
          <t>NO</t>
        </is>
      </c>
      <c r="K23">
        <f>TEXT(A23,"MMM-YY")</f>
        <v/>
      </c>
      <c r="L23">
        <f>HOUR(B23)</f>
        <v/>
      </c>
      <c r="M23">
        <f>IF(L23&lt;6,"Night",IF(L23&lt;12,"Morning",IF(L23&lt;18,"Afternoon","Evening")))</f>
        <v/>
      </c>
      <c r="N23">
        <f>TEXT(A23,"DDD")</f>
        <v/>
      </c>
      <c r="O23">
        <f>WEEKNUM(A23)</f>
        <v/>
      </c>
      <c r="P23">
        <f>INDEX({"Q1","Q1","Q1","Q2","Q2","Q2","Q3","Q3","Q3","Q4","Q4","Q4"},MONTH(A23))</f>
        <v/>
      </c>
      <c r="W23" s="19" t="n">
        <v>45952</v>
      </c>
    </row>
    <row r="24">
      <c r="A24" s="18" t="n">
        <v>45948</v>
      </c>
      <c r="B24" s="15" t="n">
        <v>0.6944444444444444</v>
      </c>
      <c r="C24" t="n">
        <v>20</v>
      </c>
      <c r="D24" t="inlineStr">
        <is>
          <t>Muscle Strains</t>
        </is>
      </c>
      <c r="E24" t="inlineStr">
        <is>
          <t xml:space="preserve">Activity </t>
        </is>
      </c>
      <c r="F24" t="inlineStr">
        <is>
          <t xml:space="preserve">11- A side </t>
        </is>
      </c>
      <c r="G24" t="inlineStr">
        <is>
          <t>Open Play</t>
        </is>
      </c>
      <c r="H24" t="inlineStr">
        <is>
          <t xml:space="preserve">Back </t>
        </is>
      </c>
      <c r="I24" t="inlineStr">
        <is>
          <t>P3</t>
        </is>
      </c>
      <c r="J24" t="inlineStr">
        <is>
          <t>NO</t>
        </is>
      </c>
      <c r="K24">
        <f>TEXT(A24,"MMM-YY")</f>
        <v/>
      </c>
      <c r="L24">
        <f>HOUR(B24)</f>
        <v/>
      </c>
      <c r="M24">
        <f>IF(L24&lt;6,"Night",IF(L24&lt;12,"Morning",IF(L24&lt;18,"Afternoon","Evening")))</f>
        <v/>
      </c>
      <c r="N24">
        <f>TEXT(A24,"DDD")</f>
        <v/>
      </c>
      <c r="O24">
        <f>WEEKNUM(A24)</f>
        <v/>
      </c>
      <c r="P24">
        <f>INDEX({"Q1","Q1","Q1","Q2","Q2","Q2","Q3","Q3","Q3","Q4","Q4","Q4"},MONTH(A24))</f>
        <v/>
      </c>
      <c r="W24" s="19" t="n">
        <v>45953</v>
      </c>
    </row>
    <row r="25">
      <c r="A25" s="18" t="n">
        <v>45952</v>
      </c>
      <c r="B25" s="15" t="n">
        <v>0.5590277777777778</v>
      </c>
      <c r="C25" t="n">
        <v>40</v>
      </c>
      <c r="D25" t="inlineStr">
        <is>
          <t>Struck by Equipment</t>
        </is>
      </c>
      <c r="E25" t="inlineStr">
        <is>
          <t xml:space="preserve">Activity </t>
        </is>
      </c>
      <c r="F25" t="inlineStr">
        <is>
          <t>Change Rooms</t>
        </is>
      </c>
      <c r="G25" t="inlineStr">
        <is>
          <t>Open Play</t>
        </is>
      </c>
      <c r="H25" t="inlineStr">
        <is>
          <t xml:space="preserve">Hand </t>
        </is>
      </c>
      <c r="I25" t="inlineStr">
        <is>
          <t>P3</t>
        </is>
      </c>
      <c r="J25" t="inlineStr">
        <is>
          <t>NO</t>
        </is>
      </c>
      <c r="K25">
        <f>TEXT(A25,"MMM-YY")</f>
        <v/>
      </c>
      <c r="L25">
        <f>HOUR(B25)</f>
        <v/>
      </c>
      <c r="M25">
        <f>IF(L25&lt;6,"Night",IF(L25&lt;12,"Morning",IF(L25&lt;18,"Afternoon","Evening")))</f>
        <v/>
      </c>
      <c r="N25">
        <f>TEXT(A25,"DDD")</f>
        <v/>
      </c>
      <c r="O25">
        <f>WEEKNUM(A25)</f>
        <v/>
      </c>
      <c r="P25">
        <f>INDEX({"Q1","Q1","Q1","Q2","Q2","Q2","Q3","Q3","Q3","Q4","Q4","Q4"},MONTH(A25))</f>
        <v/>
      </c>
      <c r="W25" s="19" t="n">
        <v>45954</v>
      </c>
    </row>
    <row r="26">
      <c r="A26" s="18" t="n">
        <v>45952</v>
      </c>
      <c r="B26" s="15" t="n">
        <v>0.6763888888888889</v>
      </c>
      <c r="C26" t="n">
        <v>12</v>
      </c>
      <c r="D26" t="inlineStr">
        <is>
          <t>Player-to-Player</t>
        </is>
      </c>
      <c r="E26" t="inlineStr">
        <is>
          <t xml:space="preserve">Activity </t>
        </is>
      </c>
      <c r="F26" t="inlineStr">
        <is>
          <t xml:space="preserve">11- A side </t>
        </is>
      </c>
      <c r="G26" t="inlineStr">
        <is>
          <t>Open Play</t>
        </is>
      </c>
      <c r="H26" t="inlineStr">
        <is>
          <t xml:space="preserve">Knee </t>
        </is>
      </c>
      <c r="I26" t="inlineStr">
        <is>
          <t>P3</t>
        </is>
      </c>
      <c r="J26" t="inlineStr">
        <is>
          <t>NO</t>
        </is>
      </c>
      <c r="K26">
        <f>TEXT(A26,"MMM-YY")</f>
        <v/>
      </c>
      <c r="L26">
        <f>HOUR(B26)</f>
        <v/>
      </c>
      <c r="M26">
        <f>IF(L26&lt;6,"Night",IF(L26&lt;12,"Morning",IF(L26&lt;18,"Afternoon","Evening")))</f>
        <v/>
      </c>
      <c r="N26">
        <f>TEXT(A26,"DDD")</f>
        <v/>
      </c>
      <c r="O26">
        <f>WEEKNUM(A26)</f>
        <v/>
      </c>
      <c r="P26">
        <f>INDEX({"Q1","Q1","Q1","Q2","Q2","Q2","Q3","Q3","Q3","Q4","Q4","Q4"},MONTH(A26))</f>
        <v/>
      </c>
      <c r="W26" s="19" t="n">
        <v>45955</v>
      </c>
    </row>
    <row r="27">
      <c r="A27" s="18" t="n">
        <v>45958</v>
      </c>
      <c r="B27" s="15" t="n">
        <v>0.7368055555555556</v>
      </c>
      <c r="C27" t="n">
        <v>14</v>
      </c>
      <c r="D27" t="inlineStr">
        <is>
          <t>Slips, Trips and falls</t>
        </is>
      </c>
      <c r="E27" t="inlineStr">
        <is>
          <t xml:space="preserve">Activity </t>
        </is>
      </c>
      <c r="F27" t="inlineStr">
        <is>
          <t>Skate Park</t>
        </is>
      </c>
      <c r="G27" t="inlineStr">
        <is>
          <t>Girl Skate</t>
        </is>
      </c>
      <c r="H27" t="inlineStr">
        <is>
          <t xml:space="preserve">Wrist </t>
        </is>
      </c>
      <c r="I27" t="inlineStr">
        <is>
          <t>P3</t>
        </is>
      </c>
      <c r="J27" t="inlineStr">
        <is>
          <t>NO</t>
        </is>
      </c>
      <c r="K27">
        <f>TEXT(A27,"MMM-YY")</f>
        <v/>
      </c>
      <c r="L27">
        <f>HOUR(B27)</f>
        <v/>
      </c>
      <c r="M27">
        <f>IF(L27&lt;6,"Night",IF(L27&lt;12,"Morning",IF(L27&lt;18,"Afternoon","Evening")))</f>
        <v/>
      </c>
      <c r="N27">
        <f>TEXT(A27,"DDD")</f>
        <v/>
      </c>
      <c r="O27">
        <f>WEEKNUM(A27)</f>
        <v/>
      </c>
      <c r="P27">
        <f>INDEX({"Q1","Q1","Q1","Q2","Q2","Q2","Q3","Q3","Q3","Q4","Q4","Q4"},MONTH(A27))</f>
        <v/>
      </c>
      <c r="W27" s="19" t="n">
        <v>45956</v>
      </c>
    </row>
    <row r="28">
      <c r="A28" s="18" t="n">
        <v>45960</v>
      </c>
      <c r="B28" s="15" t="n">
        <v>0.7263888888888889</v>
      </c>
      <c r="C28" t="n">
        <v>19</v>
      </c>
      <c r="D28" t="inlineStr">
        <is>
          <t>Player-to-Object</t>
        </is>
      </c>
      <c r="E28" t="inlineStr">
        <is>
          <t xml:space="preserve">Equipment </t>
        </is>
      </c>
      <c r="F28" t="inlineStr">
        <is>
          <t xml:space="preserve">5 A side </t>
        </is>
      </c>
      <c r="G28" t="inlineStr">
        <is>
          <t>Open Play</t>
        </is>
      </c>
      <c r="H28" t="inlineStr">
        <is>
          <t xml:space="preserve">Facial Injury </t>
        </is>
      </c>
      <c r="I28" t="inlineStr">
        <is>
          <t>P3</t>
        </is>
      </c>
      <c r="J28" t="inlineStr">
        <is>
          <t>NO</t>
        </is>
      </c>
      <c r="K28">
        <f>TEXT(A28,"MMM-YY")</f>
        <v/>
      </c>
      <c r="L28">
        <f>HOUR(B28)</f>
        <v/>
      </c>
      <c r="M28">
        <f>IF(L28&lt;6,"Night",IF(L28&lt;12,"Morning",IF(L28&lt;18,"Afternoon","Evening")))</f>
        <v/>
      </c>
      <c r="N28">
        <f>TEXT(A28,"DDD")</f>
        <v/>
      </c>
      <c r="O28">
        <f>WEEKNUM(A28)</f>
        <v/>
      </c>
      <c r="P28">
        <f>INDEX({"Q1","Q1","Q1","Q2","Q2","Q2","Q3","Q3","Q3","Q4","Q4","Q4"},MONTH(A28))</f>
        <v/>
      </c>
      <c r="W28" s="19" t="n">
        <v>45957</v>
      </c>
    </row>
    <row r="29">
      <c r="A29" s="18" t="n"/>
      <c r="B29" s="15" t="n"/>
      <c r="K29">
        <f>TEXT(A29,"MMM-YY")</f>
        <v/>
      </c>
      <c r="L29">
        <f>HOUR(B29)</f>
        <v/>
      </c>
      <c r="M29">
        <f>IF(L29&lt;6,"Night",IF(L29&lt;12,"Morning",IF(L29&lt;18,"Afternoon","Evening")))</f>
        <v/>
      </c>
      <c r="N29">
        <f>TEXT(A29,"DDD")</f>
        <v/>
      </c>
      <c r="O29">
        <f>WEEKNUM(A29)</f>
        <v/>
      </c>
      <c r="P29">
        <f>INDEX({"Q1","Q1","Q1","Q2","Q2","Q2","Q3","Q3","Q3","Q4","Q4","Q4"},MONTH(A29))</f>
        <v/>
      </c>
      <c r="W29" s="19" t="n">
        <v>45958</v>
      </c>
    </row>
    <row r="30">
      <c r="A30" s="18" t="n"/>
      <c r="B30" s="15" t="n"/>
      <c r="K30">
        <f>TEXT(A30,"MMM-YY")</f>
        <v/>
      </c>
      <c r="L30">
        <f>HOUR(B30)</f>
        <v/>
      </c>
      <c r="M30">
        <f>IF(L30&lt;6,"Night",IF(L30&lt;12,"Morning",IF(L30&lt;18,"Afternoon","Evening")))</f>
        <v/>
      </c>
      <c r="N30">
        <f>TEXT(A30,"DDD")</f>
        <v/>
      </c>
      <c r="O30">
        <f>WEEKNUM(A30)</f>
        <v/>
      </c>
      <c r="P30">
        <f>INDEX({"Q1","Q1","Q1","Q2","Q2","Q2","Q3","Q3","Q3","Q4","Q4","Q4"},MONTH(A30))</f>
        <v/>
      </c>
      <c r="W30" s="19" t="n">
        <v>45959</v>
      </c>
    </row>
    <row r="31">
      <c r="A31" s="18" t="n"/>
      <c r="B31" s="15" t="n"/>
      <c r="K31">
        <f>TEXT(A31,"MMM-YY")</f>
        <v/>
      </c>
      <c r="L31">
        <f>HOUR(B31)</f>
        <v/>
      </c>
      <c r="M31">
        <f>IF(L31&lt;6,"Night",IF(L31&lt;12,"Morning",IF(L31&lt;18,"Afternoon","Evening")))</f>
        <v/>
      </c>
      <c r="N31">
        <f>TEXT(A31,"DDD")</f>
        <v/>
      </c>
      <c r="O31">
        <f>WEEKNUM(A31)</f>
        <v/>
      </c>
      <c r="P31">
        <f>INDEX({"Q1","Q1","Q1","Q2","Q2","Q2","Q3","Q3","Q3","Q4","Q4","Q4"},MONTH(A31))</f>
        <v/>
      </c>
      <c r="W31" s="19" t="n">
        <v>45960</v>
      </c>
    </row>
    <row r="32">
      <c r="A32" s="18" t="n"/>
      <c r="B32" s="15" t="n"/>
      <c r="K32">
        <f>TEXT(A32,"MMM-YY")</f>
        <v/>
      </c>
      <c r="L32">
        <f>HOUR(B32)</f>
        <v/>
      </c>
      <c r="M32">
        <f>IF(L32&lt;6,"Night",IF(L32&lt;12,"Morning",IF(L32&lt;18,"Afternoon","Evening")))</f>
        <v/>
      </c>
      <c r="N32">
        <f>TEXT(A32,"DDD")</f>
        <v/>
      </c>
      <c r="O32">
        <f>WEEKNUM(A32)</f>
        <v/>
      </c>
      <c r="P32">
        <f>INDEX({"Q1","Q1","Q1","Q2","Q2","Q2","Q3","Q3","Q3","Q4","Q4","Q4"},MONTH(A32))</f>
        <v/>
      </c>
      <c r="W32" s="19" t="n">
        <v>45961</v>
      </c>
    </row>
    <row r="33">
      <c r="A33" s="18" t="n"/>
      <c r="B33" s="15" t="n"/>
      <c r="K33">
        <f>TEXT(A33,"MMM-YY")</f>
        <v/>
      </c>
      <c r="L33">
        <f>HOUR(B33)</f>
        <v/>
      </c>
      <c r="M33">
        <f>IF(L33&lt;6,"Night",IF(L33&lt;12,"Morning",IF(L33&lt;18,"Afternoon","Evening")))</f>
        <v/>
      </c>
      <c r="N33">
        <f>TEXT(A33,"DDD")</f>
        <v/>
      </c>
      <c r="O33">
        <f>WEEKNUM(A33)</f>
        <v/>
      </c>
      <c r="P33">
        <f>INDEX({"Q1","Q1","Q1","Q2","Q2","Q2","Q3","Q3","Q3","Q4","Q4","Q4"},MONTH(A33))</f>
        <v/>
      </c>
    </row>
    <row r="34">
      <c r="A34" s="18" t="n"/>
      <c r="B34" s="15" t="n"/>
      <c r="K34">
        <f>TEXT(A34,"MMM-YY")</f>
        <v/>
      </c>
      <c r="L34">
        <f>HOUR(B34)</f>
        <v/>
      </c>
      <c r="M34">
        <f>IF(L34&lt;6,"Night",IF(L34&lt;12,"Morning",IF(L34&lt;18,"Afternoon","Evening")))</f>
        <v/>
      </c>
      <c r="N34">
        <f>TEXT(A34,"DDD")</f>
        <v/>
      </c>
      <c r="O34">
        <f>WEEKNUM(A34)</f>
        <v/>
      </c>
      <c r="P34">
        <f>INDEX({"Q1","Q1","Q1","Q2","Q2","Q2","Q3","Q3","Q3","Q4","Q4","Q4"},MONTH(A34))</f>
        <v/>
      </c>
    </row>
    <row r="35">
      <c r="A35" s="18" t="n"/>
      <c r="B35" s="15" t="n"/>
      <c r="K35">
        <f>TEXT(A35,"MMM-YY")</f>
        <v/>
      </c>
      <c r="L35">
        <f>HOUR(B35)</f>
        <v/>
      </c>
      <c r="M35">
        <f>IF(L35&lt;6,"Night",IF(L35&lt;12,"Morning",IF(L35&lt;18,"Afternoon","Evening")))</f>
        <v/>
      </c>
      <c r="N35">
        <f>TEXT(A35,"DDD")</f>
        <v/>
      </c>
      <c r="O35">
        <f>WEEKNUM(A35)</f>
        <v/>
      </c>
      <c r="P35">
        <f>INDEX({"Q1","Q1","Q1","Q2","Q2","Q2","Q3","Q3","Q3","Q4","Q4","Q4"},MONTH(A35))</f>
        <v/>
      </c>
    </row>
    <row r="36">
      <c r="A36" s="18" t="n"/>
      <c r="B36" s="15" t="n"/>
      <c r="K36">
        <f>TEXT(A36,"MMM-YY")</f>
        <v/>
      </c>
      <c r="L36">
        <f>HOUR(B36)</f>
        <v/>
      </c>
      <c r="M36">
        <f>IF(L36&lt;6,"Night",IF(L36&lt;12,"Morning",IF(L36&lt;18,"Afternoon","Evening")))</f>
        <v/>
      </c>
      <c r="N36">
        <f>TEXT(A36,"DDD")</f>
        <v/>
      </c>
      <c r="O36">
        <f>WEEKNUM(A36)</f>
        <v/>
      </c>
      <c r="P36">
        <f>INDEX({"Q1","Q1","Q1","Q2","Q2","Q2","Q3","Q3","Q3","Q4","Q4","Q4"},MONTH(A36))</f>
        <v/>
      </c>
    </row>
    <row r="37">
      <c r="A37" s="18" t="n"/>
      <c r="B37" s="15" t="n"/>
      <c r="K37">
        <f>TEXT(A37,"MMM-YY")</f>
        <v/>
      </c>
      <c r="L37">
        <f>HOUR(B37)</f>
        <v/>
      </c>
      <c r="M37">
        <f>IF(L37&lt;6,"Night",IF(L37&lt;12,"Morning",IF(L37&lt;18,"Afternoon","Evening")))</f>
        <v/>
      </c>
      <c r="N37">
        <f>TEXT(A37,"DDD")</f>
        <v/>
      </c>
      <c r="O37">
        <f>WEEKNUM(A37)</f>
        <v/>
      </c>
      <c r="P37">
        <f>INDEX({"Q1","Q1","Q1","Q2","Q2","Q2","Q3","Q3","Q3","Q4","Q4","Q4"},MONTH(A37))</f>
        <v/>
      </c>
    </row>
    <row r="38">
      <c r="A38" s="18" t="n"/>
      <c r="B38" s="15" t="n"/>
      <c r="K38">
        <f>TEXT(A38,"MMM-YY")</f>
        <v/>
      </c>
      <c r="L38">
        <f>HOUR(B38)</f>
        <v/>
      </c>
      <c r="M38">
        <f>IF(L38&lt;6,"Night",IF(L38&lt;12,"Morning",IF(L38&lt;18,"Afternoon","Evening")))</f>
        <v/>
      </c>
      <c r="N38">
        <f>TEXT(A38,"DDD")</f>
        <v/>
      </c>
      <c r="O38">
        <f>WEEKNUM(A38)</f>
        <v/>
      </c>
      <c r="P38">
        <f>INDEX({"Q1","Q1","Q1","Q2","Q2","Q2","Q3","Q3","Q3","Q4","Q4","Q4"},MONTH(A38))</f>
        <v/>
      </c>
    </row>
    <row r="39">
      <c r="A39" s="18" t="n"/>
      <c r="B39" s="15" t="n"/>
      <c r="K39">
        <f>TEXT(A39,"MMM-YY")</f>
        <v/>
      </c>
      <c r="L39">
        <f>HOUR(B39)</f>
        <v/>
      </c>
      <c r="M39">
        <f>IF(L39&lt;6,"Night",IF(L39&lt;12,"Morning",IF(L39&lt;18,"Afternoon","Evening")))</f>
        <v/>
      </c>
      <c r="N39">
        <f>TEXT(A39,"DDD")</f>
        <v/>
      </c>
      <c r="O39">
        <f>WEEKNUM(A39)</f>
        <v/>
      </c>
      <c r="P39">
        <f>INDEX({"Q1","Q1","Q1","Q2","Q2","Q2","Q3","Q3","Q3","Q4","Q4","Q4"},MONTH(A39))</f>
        <v/>
      </c>
    </row>
    <row r="40">
      <c r="A40" s="18" t="n"/>
      <c r="B40" s="15" t="n"/>
      <c r="K40">
        <f>TEXT(A40,"MMM-YY")</f>
        <v/>
      </c>
      <c r="L40">
        <f>HOUR(B40)</f>
        <v/>
      </c>
      <c r="M40">
        <f>IF(L40&lt;6,"Night",IF(L40&lt;12,"Morning",IF(L40&lt;18,"Afternoon","Evening")))</f>
        <v/>
      </c>
      <c r="N40">
        <f>TEXT(A40,"DDD")</f>
        <v/>
      </c>
      <c r="O40">
        <f>WEEKNUM(A40)</f>
        <v/>
      </c>
      <c r="P40">
        <f>INDEX({"Q1","Q1","Q1","Q2","Q2","Q2","Q3","Q3","Q3","Q4","Q4","Q4"},MONTH(A40))</f>
        <v/>
      </c>
    </row>
    <row r="41">
      <c r="A41" s="18" t="n"/>
      <c r="B41" s="15" t="n"/>
      <c r="K41">
        <f>TEXT(A41,"MMM-YY")</f>
        <v/>
      </c>
      <c r="L41">
        <f>HOUR(B41)</f>
        <v/>
      </c>
      <c r="M41">
        <f>IF(L41&lt;6,"Night",IF(L41&lt;12,"Morning",IF(L41&lt;18,"Afternoon","Evening")))</f>
        <v/>
      </c>
      <c r="N41">
        <f>TEXT(A41,"DDD")</f>
        <v/>
      </c>
      <c r="O41">
        <f>WEEKNUM(A41)</f>
        <v/>
      </c>
      <c r="P41">
        <f>INDEX({"Q1","Q1","Q1","Q2","Q2","Q2","Q3","Q3","Q3","Q4","Q4","Q4"},MONTH(A41))</f>
        <v/>
      </c>
    </row>
    <row r="42">
      <c r="A42" s="18" t="n"/>
      <c r="B42" s="15" t="n"/>
      <c r="K42">
        <f>TEXT(A42,"MMM-YY")</f>
        <v/>
      </c>
      <c r="L42">
        <f>HOUR(B42)</f>
        <v/>
      </c>
      <c r="M42">
        <f>IF(L42&lt;6,"Night",IF(L42&lt;12,"Morning",IF(L42&lt;18,"Afternoon","Evening")))</f>
        <v/>
      </c>
      <c r="N42">
        <f>TEXT(A42,"DDD")</f>
        <v/>
      </c>
      <c r="O42">
        <f>WEEKNUM(A42)</f>
        <v/>
      </c>
      <c r="P42">
        <f>INDEX({"Q1","Q1","Q1","Q2","Q2","Q2","Q3","Q3","Q3","Q4","Q4","Q4"},MONTH(A42))</f>
        <v/>
      </c>
    </row>
    <row r="43">
      <c r="A43" s="18" t="n"/>
      <c r="B43" s="15" t="n"/>
      <c r="K43">
        <f>TEXT(A43,"MMM-YY")</f>
        <v/>
      </c>
      <c r="L43">
        <f>HOUR(B43)</f>
        <v/>
      </c>
      <c r="M43">
        <f>IF(L43&lt;6,"Night",IF(L43&lt;12,"Morning",IF(L43&lt;18,"Afternoon","Evening")))</f>
        <v/>
      </c>
      <c r="N43">
        <f>TEXT(A43,"DDD")</f>
        <v/>
      </c>
      <c r="O43">
        <f>WEEKNUM(A43)</f>
        <v/>
      </c>
      <c r="P43">
        <f>INDEX({"Q1","Q1","Q1","Q2","Q2","Q2","Q3","Q3","Q3","Q4","Q4","Q4"},MONTH(A43))</f>
        <v/>
      </c>
    </row>
    <row r="44">
      <c r="A44" s="18" t="n"/>
      <c r="B44" s="15" t="n"/>
      <c r="K44">
        <f>TEXT(A44,"MMM-YY")</f>
        <v/>
      </c>
      <c r="L44">
        <f>HOUR(B44)</f>
        <v/>
      </c>
      <c r="M44">
        <f>IF(L44&lt;6,"Night",IF(L44&lt;12,"Morning",IF(L44&lt;18,"Afternoon","Evening")))</f>
        <v/>
      </c>
      <c r="N44">
        <f>TEXT(A44,"DDD")</f>
        <v/>
      </c>
      <c r="O44">
        <f>WEEKNUM(A44)</f>
        <v/>
      </c>
      <c r="P44">
        <f>INDEX({"Q1","Q1","Q1","Q2","Q2","Q2","Q3","Q3","Q3","Q4","Q4","Q4"},MONTH(A44))</f>
        <v/>
      </c>
    </row>
    <row r="45">
      <c r="A45" s="18" t="n"/>
      <c r="B45" s="15" t="n"/>
      <c r="K45">
        <f>TEXT(A45,"MMM-YY")</f>
        <v/>
      </c>
      <c r="L45">
        <f>HOUR(B45)</f>
        <v/>
      </c>
      <c r="M45">
        <f>IF(L45&lt;6,"Night",IF(L45&lt;12,"Morning",IF(L45&lt;18,"Afternoon","Evening")))</f>
        <v/>
      </c>
      <c r="N45">
        <f>TEXT(A45,"DDD")</f>
        <v/>
      </c>
      <c r="O45">
        <f>WEEKNUM(A45)</f>
        <v/>
      </c>
      <c r="P45">
        <f>INDEX({"Q1","Q1","Q1","Q2","Q2","Q2","Q3","Q3","Q3","Q4","Q4","Q4"},MONTH(A45))</f>
        <v/>
      </c>
    </row>
    <row r="46">
      <c r="A46" s="18" t="n"/>
      <c r="B46" s="15" t="n"/>
      <c r="K46">
        <f>TEXT(A46,"MMM-YY")</f>
        <v/>
      </c>
      <c r="L46">
        <f>HOUR(B46)</f>
        <v/>
      </c>
      <c r="M46">
        <f>IF(L46&lt;6,"Night",IF(L46&lt;12,"Morning",IF(L46&lt;18,"Afternoon","Evening")))</f>
        <v/>
      </c>
      <c r="N46">
        <f>TEXT(A46,"DDD")</f>
        <v/>
      </c>
      <c r="O46">
        <f>WEEKNUM(A46)</f>
        <v/>
      </c>
      <c r="P46">
        <f>INDEX({"Q1","Q1","Q1","Q2","Q2","Q2","Q3","Q3","Q3","Q4","Q4","Q4"},MONTH(A46))</f>
        <v/>
      </c>
    </row>
    <row r="47">
      <c r="A47" s="18" t="n"/>
      <c r="B47" s="15" t="n"/>
      <c r="K47">
        <f>TEXT(A47,"MMM-YY")</f>
        <v/>
      </c>
      <c r="L47">
        <f>HOUR(B47)</f>
        <v/>
      </c>
      <c r="M47">
        <f>IF(L47&lt;6,"Night",IF(L47&lt;12,"Morning",IF(L47&lt;18,"Afternoon","Evening")))</f>
        <v/>
      </c>
      <c r="N47">
        <f>TEXT(A47,"DDD")</f>
        <v/>
      </c>
      <c r="O47">
        <f>WEEKNUM(A47)</f>
        <v/>
      </c>
      <c r="P47">
        <f>INDEX({"Q1","Q1","Q1","Q2","Q2","Q2","Q3","Q3","Q3","Q4","Q4","Q4"},MONTH(A47))</f>
        <v/>
      </c>
    </row>
    <row r="48">
      <c r="A48" s="18" t="n"/>
      <c r="B48" s="15" t="n"/>
      <c r="K48">
        <f>TEXT(A48,"MMM-YY")</f>
        <v/>
      </c>
      <c r="L48">
        <f>HOUR(B48)</f>
        <v/>
      </c>
      <c r="M48">
        <f>IF(L48&lt;6,"Night",IF(L48&lt;12,"Morning",IF(L48&lt;18,"Afternoon","Evening")))</f>
        <v/>
      </c>
      <c r="N48">
        <f>TEXT(A48,"DDD")</f>
        <v/>
      </c>
      <c r="O48">
        <f>WEEKNUM(A48)</f>
        <v/>
      </c>
      <c r="P48">
        <f>INDEX({"Q1","Q1","Q1","Q2","Q2","Q2","Q3","Q3","Q3","Q4","Q4","Q4"},MONTH(A48))</f>
        <v/>
      </c>
    </row>
    <row r="49">
      <c r="A49" s="18" t="n"/>
      <c r="B49" s="15" t="n"/>
      <c r="K49">
        <f>TEXT(A49,"MMM-YY")</f>
        <v/>
      </c>
      <c r="L49">
        <f>HOUR(B49)</f>
        <v/>
      </c>
      <c r="M49">
        <f>IF(L49&lt;6,"Night",IF(L49&lt;12,"Morning",IF(L49&lt;18,"Afternoon","Evening")))</f>
        <v/>
      </c>
      <c r="N49">
        <f>TEXT(A49,"DDD")</f>
        <v/>
      </c>
      <c r="O49">
        <f>WEEKNUM(A49)</f>
        <v/>
      </c>
      <c r="P49">
        <f>INDEX({"Q1","Q1","Q1","Q2","Q2","Q2","Q3","Q3","Q3","Q4","Q4","Q4"},MONTH(A49))</f>
        <v/>
      </c>
    </row>
    <row r="50">
      <c r="A50" s="18" t="n"/>
      <c r="B50" s="15" t="n"/>
      <c r="K50">
        <f>TEXT(A50,"MMM-YY")</f>
        <v/>
      </c>
      <c r="L50">
        <f>HOUR(B50)</f>
        <v/>
      </c>
      <c r="M50">
        <f>IF(L50&lt;6,"Night",IF(L50&lt;12,"Morning",IF(L50&lt;18,"Afternoon","Evening")))</f>
        <v/>
      </c>
      <c r="N50">
        <f>TEXT(A50,"DDD")</f>
        <v/>
      </c>
      <c r="O50">
        <f>WEEKNUM(A50)</f>
        <v/>
      </c>
      <c r="P50">
        <f>INDEX({"Q1","Q1","Q1","Q2","Q2","Q2","Q3","Q3","Q3","Q4","Q4","Q4"},MONTH(A50))</f>
        <v/>
      </c>
    </row>
    <row r="51">
      <c r="A51" s="18" t="n"/>
      <c r="B51" s="15" t="n"/>
      <c r="K51">
        <f>TEXT(A51,"MMM-YY")</f>
        <v/>
      </c>
      <c r="L51">
        <f>HOUR(B51)</f>
        <v/>
      </c>
      <c r="M51">
        <f>IF(L51&lt;6,"Night",IF(L51&lt;12,"Morning",IF(L51&lt;18,"Afternoon","Evening")))</f>
        <v/>
      </c>
      <c r="N51">
        <f>TEXT(A51,"DDD")</f>
        <v/>
      </c>
      <c r="O51">
        <f>WEEKNUM(A51)</f>
        <v/>
      </c>
      <c r="P51">
        <f>INDEX({"Q1","Q1","Q1","Q2","Q2","Q2","Q3","Q3","Q3","Q4","Q4","Q4"},MONTH(A51))</f>
        <v/>
      </c>
    </row>
    <row r="52">
      <c r="A52" s="18" t="n"/>
      <c r="B52" s="15" t="n"/>
      <c r="K52">
        <f>TEXT(A52,"MMM-YY")</f>
        <v/>
      </c>
      <c r="L52">
        <f>HOUR(B52)</f>
        <v/>
      </c>
      <c r="M52">
        <f>IF(L52&lt;6,"Night",IF(L52&lt;12,"Morning",IF(L52&lt;18,"Afternoon","Evening")))</f>
        <v/>
      </c>
      <c r="N52">
        <f>TEXT(A52,"DDD")</f>
        <v/>
      </c>
      <c r="O52">
        <f>WEEKNUM(A52)</f>
        <v/>
      </c>
      <c r="P52">
        <f>INDEX({"Q1","Q1","Q1","Q2","Q2","Q2","Q3","Q3","Q3","Q4","Q4","Q4"},MONTH(A52))</f>
        <v/>
      </c>
    </row>
    <row r="53">
      <c r="A53" s="18" t="n"/>
      <c r="B53" s="15" t="n"/>
      <c r="K53">
        <f>TEXT(A53,"MMM-YY")</f>
        <v/>
      </c>
      <c r="L53">
        <f>HOUR(B53)</f>
        <v/>
      </c>
      <c r="M53">
        <f>IF(L53&lt;6,"Night",IF(L53&lt;12,"Morning",IF(L53&lt;18,"Afternoon","Evening")))</f>
        <v/>
      </c>
      <c r="N53">
        <f>TEXT(A53,"DDD")</f>
        <v/>
      </c>
      <c r="O53">
        <f>WEEKNUM(A53)</f>
        <v/>
      </c>
      <c r="P53">
        <f>INDEX({"Q1","Q1","Q1","Q2","Q2","Q2","Q3","Q3","Q3","Q4","Q4","Q4"},MONTH(A53))</f>
        <v/>
      </c>
    </row>
    <row r="54">
      <c r="A54" s="18" t="n"/>
      <c r="B54" s="15" t="n"/>
      <c r="K54">
        <f>TEXT(A54,"MMM-YY")</f>
        <v/>
      </c>
      <c r="L54">
        <f>HOUR(B54)</f>
        <v/>
      </c>
      <c r="M54">
        <f>IF(L54&lt;6,"Night",IF(L54&lt;12,"Morning",IF(L54&lt;18,"Afternoon","Evening")))</f>
        <v/>
      </c>
      <c r="N54">
        <f>TEXT(A54,"DDD")</f>
        <v/>
      </c>
      <c r="O54">
        <f>WEEKNUM(A54)</f>
        <v/>
      </c>
      <c r="P54">
        <f>INDEX({"Q1","Q1","Q1","Q2","Q2","Q2","Q3","Q3","Q3","Q4","Q4","Q4"},MONTH(A54))</f>
        <v/>
      </c>
    </row>
    <row r="55">
      <c r="A55" s="18" t="n"/>
      <c r="B55" s="15" t="n"/>
      <c r="K55">
        <f>TEXT(A55,"MMM-YY")</f>
        <v/>
      </c>
      <c r="L55">
        <f>HOUR(B55)</f>
        <v/>
      </c>
      <c r="M55">
        <f>IF(L55&lt;6,"Night",IF(L55&lt;12,"Morning",IF(L55&lt;18,"Afternoon","Evening")))</f>
        <v/>
      </c>
      <c r="N55">
        <f>TEXT(A55,"DDD")</f>
        <v/>
      </c>
      <c r="O55">
        <f>WEEKNUM(A55)</f>
        <v/>
      </c>
      <c r="P55">
        <f>INDEX({"Q1","Q1","Q1","Q2","Q2","Q2","Q3","Q3","Q3","Q4","Q4","Q4"},MONTH(A55))</f>
        <v/>
      </c>
    </row>
    <row r="56">
      <c r="A56" s="18" t="n"/>
      <c r="B56" s="15" t="n"/>
      <c r="K56">
        <f>TEXT(A56,"MMM-YY")</f>
        <v/>
      </c>
      <c r="L56">
        <f>HOUR(B56)</f>
        <v/>
      </c>
      <c r="M56">
        <f>IF(L56&lt;6,"Night",IF(L56&lt;12,"Morning",IF(L56&lt;18,"Afternoon","Evening")))</f>
        <v/>
      </c>
      <c r="N56">
        <f>TEXT(A56,"DDD")</f>
        <v/>
      </c>
      <c r="O56">
        <f>WEEKNUM(A56)</f>
        <v/>
      </c>
      <c r="P56">
        <f>INDEX({"Q1","Q1","Q1","Q2","Q2","Q2","Q3","Q3","Q3","Q4","Q4","Q4"},MONTH(A56))</f>
        <v/>
      </c>
    </row>
    <row r="57">
      <c r="A57" s="18" t="n"/>
      <c r="B57" s="15" t="n"/>
      <c r="K57">
        <f>TEXT(A57,"MMM-YY")</f>
        <v/>
      </c>
      <c r="L57">
        <f>HOUR(B57)</f>
        <v/>
      </c>
      <c r="M57">
        <f>IF(L57&lt;6,"Night",IF(L57&lt;12,"Morning",IF(L57&lt;18,"Afternoon","Evening")))</f>
        <v/>
      </c>
      <c r="N57">
        <f>TEXT(A57,"DDD")</f>
        <v/>
      </c>
      <c r="O57">
        <f>WEEKNUM(A57)</f>
        <v/>
      </c>
      <c r="P57">
        <f>INDEX({"Q1","Q1","Q1","Q2","Q2","Q2","Q3","Q3","Q3","Q4","Q4","Q4"},MONTH(A57))</f>
        <v/>
      </c>
    </row>
    <row r="58">
      <c r="A58" s="18" t="n"/>
      <c r="B58" s="15" t="n"/>
      <c r="K58">
        <f>TEXT(A58,"MMM-YY")</f>
        <v/>
      </c>
      <c r="L58">
        <f>HOUR(B58)</f>
        <v/>
      </c>
      <c r="M58">
        <f>IF(L58&lt;6,"Night",IF(L58&lt;12,"Morning",IF(L58&lt;18,"Afternoon","Evening")))</f>
        <v/>
      </c>
      <c r="N58">
        <f>TEXT(A58,"DDD")</f>
        <v/>
      </c>
      <c r="O58">
        <f>WEEKNUM(A58)</f>
        <v/>
      </c>
      <c r="P58">
        <f>INDEX({"Q1","Q1","Q1","Q2","Q2","Q2","Q3","Q3","Q3","Q4","Q4","Q4"},MONTH(A58))</f>
        <v/>
      </c>
    </row>
    <row r="59">
      <c r="A59" s="18" t="n"/>
      <c r="B59" s="15" t="n"/>
      <c r="K59">
        <f>TEXT(A59,"MMM-YY")</f>
        <v/>
      </c>
      <c r="L59">
        <f>HOUR(B59)</f>
        <v/>
      </c>
      <c r="M59">
        <f>IF(L59&lt;6,"Night",IF(L59&lt;12,"Morning",IF(L59&lt;18,"Afternoon","Evening")))</f>
        <v/>
      </c>
      <c r="N59">
        <f>TEXT(A59,"DDD")</f>
        <v/>
      </c>
      <c r="O59">
        <f>WEEKNUM(A59)</f>
        <v/>
      </c>
      <c r="P59">
        <f>INDEX({"Q1","Q1","Q1","Q2","Q2","Q2","Q3","Q3","Q3","Q4","Q4","Q4"},MONTH(A59))</f>
        <v/>
      </c>
    </row>
    <row r="60">
      <c r="A60" s="18" t="n"/>
      <c r="B60" s="15" t="n"/>
      <c r="K60">
        <f>TEXT(A60,"MMM-YY")</f>
        <v/>
      </c>
      <c r="L60">
        <f>HOUR(B60)</f>
        <v/>
      </c>
      <c r="M60">
        <f>IF(L60&lt;6,"Night",IF(L60&lt;12,"Morning",IF(L60&lt;18,"Afternoon","Evening")))</f>
        <v/>
      </c>
      <c r="N60">
        <f>TEXT(A60,"DDD")</f>
        <v/>
      </c>
      <c r="O60">
        <f>WEEKNUM(A60)</f>
        <v/>
      </c>
      <c r="P60">
        <f>INDEX({"Q1","Q1","Q1","Q2","Q2","Q2","Q3","Q3","Q3","Q4","Q4","Q4"},MONTH(A60))</f>
        <v/>
      </c>
    </row>
    <row r="61">
      <c r="A61" s="18" t="n"/>
      <c r="B61" s="15" t="n"/>
      <c r="K61">
        <f>TEXT(A61,"MMM-YY")</f>
        <v/>
      </c>
      <c r="L61">
        <f>HOUR(B61)</f>
        <v/>
      </c>
      <c r="M61">
        <f>IF(L61&lt;6,"Night",IF(L61&lt;12,"Morning",IF(L61&lt;18,"Afternoon","Evening")))</f>
        <v/>
      </c>
      <c r="N61">
        <f>TEXT(A61,"DDD")</f>
        <v/>
      </c>
      <c r="O61">
        <f>WEEKNUM(A61)</f>
        <v/>
      </c>
      <c r="P61">
        <f>INDEX({"Q1","Q1","Q1","Q2","Q2","Q2","Q3","Q3","Q3","Q4","Q4","Q4"},MONTH(A61))</f>
        <v/>
      </c>
    </row>
    <row r="62">
      <c r="A62" s="18" t="n"/>
      <c r="B62" s="15" t="n"/>
      <c r="K62">
        <f>TEXT(A62,"MMM-YY")</f>
        <v/>
      </c>
      <c r="L62">
        <f>HOUR(B62)</f>
        <v/>
      </c>
      <c r="M62">
        <f>IF(L62&lt;6,"Night",IF(L62&lt;12,"Morning",IF(L62&lt;18,"Afternoon","Evening")))</f>
        <v/>
      </c>
      <c r="N62">
        <f>TEXT(A62,"DDD")</f>
        <v/>
      </c>
      <c r="O62">
        <f>WEEKNUM(A62)</f>
        <v/>
      </c>
      <c r="P62">
        <f>INDEX({"Q1","Q1","Q1","Q2","Q2","Q2","Q3","Q3","Q3","Q4","Q4","Q4"},MONTH(A62))</f>
        <v/>
      </c>
    </row>
    <row r="63">
      <c r="A63" s="18" t="n"/>
      <c r="B63" s="15" t="n"/>
      <c r="K63">
        <f>TEXT(A63,"MMM-YY")</f>
        <v/>
      </c>
      <c r="L63">
        <f>HOUR(B63)</f>
        <v/>
      </c>
      <c r="M63">
        <f>IF(L63&lt;6,"Night",IF(L63&lt;12,"Morning",IF(L63&lt;18,"Afternoon","Evening")))</f>
        <v/>
      </c>
      <c r="N63">
        <f>TEXT(A63,"DDD")</f>
        <v/>
      </c>
      <c r="O63">
        <f>WEEKNUM(A63)</f>
        <v/>
      </c>
      <c r="P63">
        <f>INDEX({"Q1","Q1","Q1","Q2","Q2","Q2","Q3","Q3","Q3","Q4","Q4","Q4"},MONTH(A63))</f>
        <v/>
      </c>
    </row>
    <row r="64">
      <c r="A64" s="18" t="n"/>
      <c r="B64" s="15" t="n"/>
      <c r="K64">
        <f>TEXT(A64,"MMM-YY")</f>
        <v/>
      </c>
      <c r="L64">
        <f>HOUR(B64)</f>
        <v/>
      </c>
      <c r="M64">
        <f>IF(L64&lt;6,"Night",IF(L64&lt;12,"Morning",IF(L64&lt;18,"Afternoon","Evening")))</f>
        <v/>
      </c>
      <c r="N64">
        <f>TEXT(A64,"DDD")</f>
        <v/>
      </c>
      <c r="O64">
        <f>WEEKNUM(A64)</f>
        <v/>
      </c>
      <c r="P64">
        <f>INDEX({"Q1","Q1","Q1","Q2","Q2","Q2","Q3","Q3","Q3","Q4","Q4","Q4"},MONTH(A64))</f>
        <v/>
      </c>
    </row>
    <row r="65">
      <c r="A65" s="18" t="n"/>
      <c r="B65" s="15" t="n"/>
      <c r="K65">
        <f>TEXT(A65,"MMM-YY")</f>
        <v/>
      </c>
      <c r="L65">
        <f>HOUR(B65)</f>
        <v/>
      </c>
      <c r="M65">
        <f>IF(L65&lt;6,"Night",IF(L65&lt;12,"Morning",IF(L65&lt;18,"Afternoon","Evening")))</f>
        <v/>
      </c>
      <c r="N65">
        <f>TEXT(A65,"DDD")</f>
        <v/>
      </c>
      <c r="O65">
        <f>WEEKNUM(A65)</f>
        <v/>
      </c>
      <c r="P65">
        <f>INDEX({"Q1","Q1","Q1","Q2","Q2","Q2","Q3","Q3","Q3","Q4","Q4","Q4"},MONTH(A65))</f>
        <v/>
      </c>
    </row>
    <row r="66">
      <c r="A66" s="18" t="n"/>
      <c r="B66" s="15" t="n"/>
      <c r="K66">
        <f>TEXT(A66,"MMM-YY")</f>
        <v/>
      </c>
      <c r="L66">
        <f>HOUR(B66)</f>
        <v/>
      </c>
      <c r="M66">
        <f>IF(L66&lt;6,"Night",IF(L66&lt;12,"Morning",IF(L66&lt;18,"Afternoon","Evening")))</f>
        <v/>
      </c>
      <c r="N66">
        <f>TEXT(A66,"DDD")</f>
        <v/>
      </c>
      <c r="O66">
        <f>WEEKNUM(A66)</f>
        <v/>
      </c>
      <c r="P66">
        <f>INDEX({"Q1","Q1","Q1","Q2","Q2","Q2","Q3","Q3","Q3","Q4","Q4","Q4"},MONTH(A66))</f>
        <v/>
      </c>
    </row>
    <row r="67">
      <c r="A67" s="18" t="n"/>
      <c r="B67" s="15" t="n"/>
      <c r="K67">
        <f>TEXT(A67,"MMM-YY")</f>
        <v/>
      </c>
      <c r="L67">
        <f>HOUR(B67)</f>
        <v/>
      </c>
      <c r="M67">
        <f>IF(L67&lt;6,"Night",IF(L67&lt;12,"Morning",IF(L67&lt;18,"Afternoon","Evening")))</f>
        <v/>
      </c>
      <c r="N67">
        <f>TEXT(A67,"DDD")</f>
        <v/>
      </c>
      <c r="O67">
        <f>WEEKNUM(A67)</f>
        <v/>
      </c>
      <c r="P67">
        <f>INDEX({"Q1","Q1","Q1","Q2","Q2","Q2","Q3","Q3","Q3","Q4","Q4","Q4"},MONTH(A67))</f>
        <v/>
      </c>
    </row>
    <row r="68">
      <c r="A68" s="18" t="n"/>
      <c r="B68" s="15" t="n"/>
      <c r="K68">
        <f>TEXT(A68,"MMM-YY")</f>
        <v/>
      </c>
      <c r="L68">
        <f>HOUR(B68)</f>
        <v/>
      </c>
      <c r="M68">
        <f>IF(L68&lt;6,"Night",IF(L68&lt;12,"Morning",IF(L68&lt;18,"Afternoon","Evening")))</f>
        <v/>
      </c>
      <c r="N68">
        <f>TEXT(A68,"DDD")</f>
        <v/>
      </c>
      <c r="O68">
        <f>WEEKNUM(A68)</f>
        <v/>
      </c>
      <c r="P68">
        <f>INDEX({"Q1","Q1","Q1","Q2","Q2","Q2","Q3","Q3","Q3","Q4","Q4","Q4"},MONTH(A68))</f>
        <v/>
      </c>
    </row>
    <row r="69">
      <c r="A69" s="18" t="n"/>
      <c r="B69" s="15" t="n"/>
      <c r="K69">
        <f>TEXT(A69,"MMM-YY")</f>
        <v/>
      </c>
      <c r="L69">
        <f>HOUR(B69)</f>
        <v/>
      </c>
      <c r="M69">
        <f>IF(L69&lt;6,"Night",IF(L69&lt;12,"Morning",IF(L69&lt;18,"Afternoon","Evening")))</f>
        <v/>
      </c>
      <c r="N69">
        <f>TEXT(A69,"DDD")</f>
        <v/>
      </c>
      <c r="O69">
        <f>WEEKNUM(A69)</f>
        <v/>
      </c>
      <c r="P69">
        <f>INDEX({"Q1","Q1","Q1","Q2","Q2","Q2","Q3","Q3","Q3","Q4","Q4","Q4"},MONTH(A69))</f>
        <v/>
      </c>
    </row>
    <row r="70">
      <c r="A70" s="18" t="n"/>
      <c r="B70" s="15" t="n"/>
      <c r="K70">
        <f>TEXT(A70,"MMM-YY")</f>
        <v/>
      </c>
      <c r="L70">
        <f>HOUR(B70)</f>
        <v/>
      </c>
      <c r="M70">
        <f>IF(L70&lt;6,"Night",IF(L70&lt;12,"Morning",IF(L70&lt;18,"Afternoon","Evening")))</f>
        <v/>
      </c>
      <c r="N70">
        <f>TEXT(A70,"DDD")</f>
        <v/>
      </c>
      <c r="O70">
        <f>WEEKNUM(A70)</f>
        <v/>
      </c>
      <c r="P70">
        <f>INDEX({"Q1","Q1","Q1","Q2","Q2","Q2","Q3","Q3","Q3","Q4","Q4","Q4"},MONTH(A70))</f>
        <v/>
      </c>
    </row>
    <row r="71">
      <c r="A71" s="18" t="n"/>
      <c r="B71" s="15" t="n"/>
      <c r="K71">
        <f>TEXT(A71,"MMM-YY")</f>
        <v/>
      </c>
      <c r="L71">
        <f>HOUR(B71)</f>
        <v/>
      </c>
      <c r="M71">
        <f>IF(L71&lt;6,"Night",IF(L71&lt;12,"Morning",IF(L71&lt;18,"Afternoon","Evening")))</f>
        <v/>
      </c>
      <c r="N71">
        <f>TEXT(A71,"DDD")</f>
        <v/>
      </c>
      <c r="O71">
        <f>WEEKNUM(A71)</f>
        <v/>
      </c>
      <c r="P71">
        <f>INDEX({"Q1","Q1","Q1","Q2","Q2","Q2","Q3","Q3","Q3","Q4","Q4","Q4"},MONTH(A71))</f>
        <v/>
      </c>
    </row>
    <row r="72">
      <c r="A72" s="18" t="n"/>
      <c r="B72" s="15" t="n"/>
      <c r="K72">
        <f>TEXT(A72,"MMM-YY")</f>
        <v/>
      </c>
      <c r="L72">
        <f>HOUR(B72)</f>
        <v/>
      </c>
      <c r="M72">
        <f>IF(L72&lt;6,"Night",IF(L72&lt;12,"Morning",IF(L72&lt;18,"Afternoon","Evening")))</f>
        <v/>
      </c>
      <c r="N72">
        <f>TEXT(A72,"DDD")</f>
        <v/>
      </c>
      <c r="O72">
        <f>WEEKNUM(A72)</f>
        <v/>
      </c>
      <c r="P72">
        <f>INDEX({"Q1","Q1","Q1","Q2","Q2","Q2","Q3","Q3","Q3","Q4","Q4","Q4"},MONTH(A72))</f>
        <v/>
      </c>
    </row>
    <row r="73">
      <c r="A73" s="18" t="n"/>
      <c r="B73" s="15" t="n"/>
      <c r="K73">
        <f>TEXT(A73,"MMM-YY")</f>
        <v/>
      </c>
      <c r="L73">
        <f>HOUR(B73)</f>
        <v/>
      </c>
      <c r="M73">
        <f>IF(L73&lt;6,"Night",IF(L73&lt;12,"Morning",IF(L73&lt;18,"Afternoon","Evening")))</f>
        <v/>
      </c>
      <c r="N73">
        <f>TEXT(A73,"DDD")</f>
        <v/>
      </c>
      <c r="O73">
        <f>WEEKNUM(A73)</f>
        <v/>
      </c>
      <c r="P73">
        <f>INDEX({"Q1","Q1","Q1","Q2","Q2","Q2","Q3","Q3","Q3","Q4","Q4","Q4"},MONTH(A73))</f>
        <v/>
      </c>
    </row>
    <row r="74">
      <c r="A74" s="18" t="n"/>
      <c r="B74" s="15" t="n"/>
      <c r="K74">
        <f>TEXT(A74,"MMM-YY")</f>
        <v/>
      </c>
      <c r="L74">
        <f>HOUR(B74)</f>
        <v/>
      </c>
      <c r="M74">
        <f>IF(L74&lt;6,"Night",IF(L74&lt;12,"Morning",IF(L74&lt;18,"Afternoon","Evening")))</f>
        <v/>
      </c>
      <c r="N74">
        <f>TEXT(A74,"DDD")</f>
        <v/>
      </c>
      <c r="O74">
        <f>WEEKNUM(A74)</f>
        <v/>
      </c>
      <c r="P74">
        <f>INDEX({"Q1","Q1","Q1","Q2","Q2","Q2","Q3","Q3","Q3","Q4","Q4","Q4"},MONTH(A74))</f>
        <v/>
      </c>
    </row>
    <row r="75">
      <c r="A75" s="18" t="n"/>
      <c r="B75" s="15" t="n"/>
      <c r="K75">
        <f>TEXT(A75,"MMM-YY")</f>
        <v/>
      </c>
      <c r="L75">
        <f>HOUR(B75)</f>
        <v/>
      </c>
      <c r="M75">
        <f>IF(L75&lt;6,"Night",IF(L75&lt;12,"Morning",IF(L75&lt;18,"Afternoon","Evening")))</f>
        <v/>
      </c>
      <c r="N75">
        <f>TEXT(A75,"DDD")</f>
        <v/>
      </c>
      <c r="O75">
        <f>WEEKNUM(A75)</f>
        <v/>
      </c>
      <c r="P75">
        <f>INDEX({"Q1","Q1","Q1","Q2","Q2","Q2","Q3","Q3","Q3","Q4","Q4","Q4"},MONTH(A75))</f>
        <v/>
      </c>
    </row>
    <row r="76">
      <c r="A76" s="18" t="n"/>
      <c r="B76" s="15" t="n"/>
      <c r="K76">
        <f>TEXT(A76,"MMM-YY")</f>
        <v/>
      </c>
      <c r="L76">
        <f>HOUR(B76)</f>
        <v/>
      </c>
      <c r="M76">
        <f>IF(L76&lt;6,"Night",IF(L76&lt;12,"Morning",IF(L76&lt;18,"Afternoon","Evening")))</f>
        <v/>
      </c>
      <c r="N76">
        <f>TEXT(A76,"DDD")</f>
        <v/>
      </c>
      <c r="O76">
        <f>WEEKNUM(A76)</f>
        <v/>
      </c>
      <c r="P76">
        <f>INDEX({"Q1","Q1","Q1","Q2","Q2","Q2","Q3","Q3","Q3","Q4","Q4","Q4"},MONTH(A76))</f>
        <v/>
      </c>
    </row>
    <row r="77">
      <c r="A77" s="18" t="n"/>
      <c r="B77" s="15" t="n"/>
      <c r="K77">
        <f>TEXT(A77,"MMM-YY")</f>
        <v/>
      </c>
      <c r="L77">
        <f>HOUR(B77)</f>
        <v/>
      </c>
      <c r="M77">
        <f>IF(L77&lt;6,"Night",IF(L77&lt;12,"Morning",IF(L77&lt;18,"Afternoon","Evening")))</f>
        <v/>
      </c>
      <c r="N77">
        <f>TEXT(A77,"DDD")</f>
        <v/>
      </c>
      <c r="O77">
        <f>WEEKNUM(A77)</f>
        <v/>
      </c>
      <c r="P77">
        <f>INDEX({"Q1","Q1","Q1","Q2","Q2","Q2","Q3","Q3","Q3","Q4","Q4","Q4"},MONTH(A77))</f>
        <v/>
      </c>
    </row>
    <row r="78">
      <c r="A78" s="18" t="n"/>
      <c r="B78" s="15" t="n"/>
      <c r="K78">
        <f>TEXT(A78,"MMM-YY")</f>
        <v/>
      </c>
      <c r="L78">
        <f>HOUR(B78)</f>
        <v/>
      </c>
      <c r="M78">
        <f>IF(L78&lt;6,"Night",IF(L78&lt;12,"Morning",IF(L78&lt;18,"Afternoon","Evening")))</f>
        <v/>
      </c>
      <c r="N78">
        <f>TEXT(A78,"DDD")</f>
        <v/>
      </c>
      <c r="O78">
        <f>WEEKNUM(A78)</f>
        <v/>
      </c>
      <c r="P78">
        <f>INDEX({"Q1","Q1","Q1","Q2","Q2","Q2","Q3","Q3","Q3","Q4","Q4","Q4"},MONTH(A78))</f>
        <v/>
      </c>
    </row>
    <row r="79">
      <c r="A79" s="18" t="n"/>
      <c r="B79" s="15" t="n"/>
      <c r="K79">
        <f>TEXT(A79,"MMM-YY")</f>
        <v/>
      </c>
      <c r="L79">
        <f>HOUR(B79)</f>
        <v/>
      </c>
      <c r="M79">
        <f>IF(L79&lt;6,"Night",IF(L79&lt;12,"Morning",IF(L79&lt;18,"Afternoon","Evening")))</f>
        <v/>
      </c>
      <c r="N79">
        <f>TEXT(A79,"DDD")</f>
        <v/>
      </c>
      <c r="O79">
        <f>WEEKNUM(A79)</f>
        <v/>
      </c>
      <c r="P79">
        <f>INDEX({"Q1","Q1","Q1","Q2","Q2","Q2","Q3","Q3","Q3","Q4","Q4","Q4"},MONTH(A79))</f>
        <v/>
      </c>
    </row>
    <row r="80">
      <c r="A80" s="18" t="n"/>
      <c r="B80" s="15" t="n"/>
      <c r="K80">
        <f>TEXT(A80,"MMM-YY")</f>
        <v/>
      </c>
      <c r="L80">
        <f>HOUR(B80)</f>
        <v/>
      </c>
      <c r="M80">
        <f>IF(L80&lt;6,"Night",IF(L80&lt;12,"Morning",IF(L80&lt;18,"Afternoon","Evening")))</f>
        <v/>
      </c>
      <c r="N80">
        <f>TEXT(A80,"DDD")</f>
        <v/>
      </c>
      <c r="O80">
        <f>WEEKNUM(A80)</f>
        <v/>
      </c>
      <c r="P80">
        <f>INDEX({"Q1","Q1","Q1","Q2","Q2","Q2","Q3","Q3","Q3","Q4","Q4","Q4"},MONTH(A80))</f>
        <v/>
      </c>
    </row>
    <row r="81">
      <c r="A81" s="18" t="n"/>
      <c r="B81" s="15" t="n"/>
      <c r="K81">
        <f>TEXT(A81,"MMM-YY")</f>
        <v/>
      </c>
      <c r="L81">
        <f>HOUR(B81)</f>
        <v/>
      </c>
      <c r="M81">
        <f>IF(L81&lt;6,"Night",IF(L81&lt;12,"Morning",IF(L81&lt;18,"Afternoon","Evening")))</f>
        <v/>
      </c>
      <c r="N81">
        <f>TEXT(A81,"DDD")</f>
        <v/>
      </c>
      <c r="O81">
        <f>WEEKNUM(A81)</f>
        <v/>
      </c>
      <c r="P81">
        <f>INDEX({"Q1","Q1","Q1","Q2","Q2","Q2","Q3","Q3","Q3","Q4","Q4","Q4"},MONTH(A81))</f>
        <v/>
      </c>
    </row>
    <row r="82">
      <c r="A82" s="18" t="n"/>
      <c r="B82" s="15" t="n"/>
      <c r="K82">
        <f>TEXT(A82,"MMM-YY")</f>
        <v/>
      </c>
      <c r="L82">
        <f>HOUR(B82)</f>
        <v/>
      </c>
      <c r="M82">
        <f>IF(L82&lt;6,"Night",IF(L82&lt;12,"Morning",IF(L82&lt;18,"Afternoon","Evening")))</f>
        <v/>
      </c>
      <c r="N82">
        <f>TEXT(A82,"DDD")</f>
        <v/>
      </c>
      <c r="O82">
        <f>WEEKNUM(A82)</f>
        <v/>
      </c>
      <c r="P82">
        <f>INDEX({"Q1","Q1","Q1","Q2","Q2","Q2","Q3","Q3","Q3","Q4","Q4","Q4"},MONTH(A82))</f>
        <v/>
      </c>
    </row>
    <row r="83">
      <c r="A83" s="18" t="n"/>
      <c r="B83" s="15" t="n"/>
      <c r="K83">
        <f>TEXT(A83,"MMM-YY")</f>
        <v/>
      </c>
      <c r="L83">
        <f>HOUR(B83)</f>
        <v/>
      </c>
      <c r="M83">
        <f>IF(L83&lt;6,"Night",IF(L83&lt;12,"Morning",IF(L83&lt;18,"Afternoon","Evening")))</f>
        <v/>
      </c>
      <c r="N83">
        <f>TEXT(A83,"DDD")</f>
        <v/>
      </c>
      <c r="O83">
        <f>WEEKNUM(A83)</f>
        <v/>
      </c>
      <c r="P83">
        <f>INDEX({"Q1","Q1","Q1","Q2","Q2","Q2","Q3","Q3","Q3","Q4","Q4","Q4"},MONTH(A83))</f>
        <v/>
      </c>
    </row>
    <row r="84">
      <c r="A84" s="18" t="n"/>
      <c r="B84" s="15" t="n"/>
      <c r="K84">
        <f>TEXT(A84,"MMM-YY")</f>
        <v/>
      </c>
      <c r="L84">
        <f>HOUR(B84)</f>
        <v/>
      </c>
      <c r="M84">
        <f>IF(L84&lt;6,"Night",IF(L84&lt;12,"Morning",IF(L84&lt;18,"Afternoon","Evening")))</f>
        <v/>
      </c>
      <c r="N84">
        <f>TEXT(A84,"DDD")</f>
        <v/>
      </c>
      <c r="O84">
        <f>WEEKNUM(A84)</f>
        <v/>
      </c>
      <c r="P84">
        <f>INDEX({"Q1","Q1","Q1","Q2","Q2","Q2","Q3","Q3","Q3","Q4","Q4","Q4"},MONTH(A84))</f>
        <v/>
      </c>
    </row>
    <row r="85">
      <c r="A85" s="18" t="n"/>
      <c r="B85" s="15" t="n"/>
      <c r="K85">
        <f>TEXT(A85,"MMM-YY")</f>
        <v/>
      </c>
      <c r="L85">
        <f>HOUR(B85)</f>
        <v/>
      </c>
      <c r="M85">
        <f>IF(L85&lt;6,"Night",IF(L85&lt;12,"Morning",IF(L85&lt;18,"Afternoon","Evening")))</f>
        <v/>
      </c>
      <c r="N85">
        <f>TEXT(A85,"DDD")</f>
        <v/>
      </c>
      <c r="O85">
        <f>WEEKNUM(A85)</f>
        <v/>
      </c>
      <c r="P85">
        <f>INDEX({"Q1","Q1","Q1","Q2","Q2","Q2","Q3","Q3","Q3","Q4","Q4","Q4"},MONTH(A85))</f>
        <v/>
      </c>
    </row>
    <row r="86">
      <c r="A86" s="18" t="n"/>
      <c r="B86" s="15" t="n"/>
      <c r="K86">
        <f>TEXT(A86,"MMM-YY")</f>
        <v/>
      </c>
      <c r="L86">
        <f>HOUR(B86)</f>
        <v/>
      </c>
      <c r="M86">
        <f>IF(L86&lt;6,"Night",IF(L86&lt;12,"Morning",IF(L86&lt;18,"Afternoon","Evening")))</f>
        <v/>
      </c>
      <c r="N86">
        <f>TEXT(A86,"DDD")</f>
        <v/>
      </c>
      <c r="O86">
        <f>WEEKNUM(A86)</f>
        <v/>
      </c>
      <c r="P86">
        <f>INDEX({"Q1","Q1","Q1","Q2","Q2","Q2","Q3","Q3","Q3","Q4","Q4","Q4"},MONTH(A86))</f>
        <v/>
      </c>
    </row>
    <row r="87">
      <c r="A87" s="18" t="n"/>
      <c r="B87" s="15" t="n"/>
      <c r="K87">
        <f>TEXT(A87,"MMM-YY")</f>
        <v/>
      </c>
      <c r="L87">
        <f>HOUR(B87)</f>
        <v/>
      </c>
      <c r="M87">
        <f>IF(L87&lt;6,"Night",IF(L87&lt;12,"Morning",IF(L87&lt;18,"Afternoon","Evening")))</f>
        <v/>
      </c>
      <c r="N87">
        <f>TEXT(A87,"DDD")</f>
        <v/>
      </c>
      <c r="O87">
        <f>WEEKNUM(A87)</f>
        <v/>
      </c>
      <c r="P87">
        <f>INDEX({"Q1","Q1","Q1","Q2","Q2","Q2","Q3","Q3","Q3","Q4","Q4","Q4"},MONTH(A87))</f>
        <v/>
      </c>
    </row>
    <row r="88">
      <c r="A88" s="18" t="n"/>
      <c r="B88" s="15" t="n"/>
      <c r="K88">
        <f>TEXT(A88,"MMM-YY")</f>
        <v/>
      </c>
      <c r="L88">
        <f>HOUR(B88)</f>
        <v/>
      </c>
      <c r="M88">
        <f>IF(L88&lt;6,"Night",IF(L88&lt;12,"Morning",IF(L88&lt;18,"Afternoon","Evening")))</f>
        <v/>
      </c>
      <c r="N88">
        <f>TEXT(A88,"DDD")</f>
        <v/>
      </c>
      <c r="O88">
        <f>WEEKNUM(A88)</f>
        <v/>
      </c>
      <c r="P88">
        <f>INDEX({"Q1","Q1","Q1","Q2","Q2","Q2","Q3","Q3","Q3","Q4","Q4","Q4"},MONTH(A88))</f>
        <v/>
      </c>
    </row>
    <row r="89">
      <c r="A89" s="18" t="n"/>
      <c r="B89" s="15" t="n"/>
      <c r="K89">
        <f>TEXT(A89,"MMM-YY")</f>
        <v/>
      </c>
      <c r="L89">
        <f>HOUR(B89)</f>
        <v/>
      </c>
      <c r="M89">
        <f>IF(L89&lt;6,"Night",IF(L89&lt;12,"Morning",IF(L89&lt;18,"Afternoon","Evening")))</f>
        <v/>
      </c>
      <c r="N89">
        <f>TEXT(A89,"DDD")</f>
        <v/>
      </c>
      <c r="O89">
        <f>WEEKNUM(A89)</f>
        <v/>
      </c>
      <c r="P89">
        <f>INDEX({"Q1","Q1","Q1","Q2","Q2","Q2","Q3","Q3","Q3","Q4","Q4","Q4"},MONTH(A89))</f>
        <v/>
      </c>
    </row>
    <row r="90">
      <c r="A90" s="18" t="n"/>
      <c r="B90" s="15" t="n"/>
      <c r="K90">
        <f>TEXT(A90,"MMM-YY")</f>
        <v/>
      </c>
      <c r="L90">
        <f>HOUR(B90)</f>
        <v/>
      </c>
      <c r="M90">
        <f>IF(L90&lt;6,"Night",IF(L90&lt;12,"Morning",IF(L90&lt;18,"Afternoon","Evening")))</f>
        <v/>
      </c>
      <c r="N90">
        <f>TEXT(A90,"DDD")</f>
        <v/>
      </c>
      <c r="O90">
        <f>WEEKNUM(A90)</f>
        <v/>
      </c>
      <c r="P90">
        <f>INDEX({"Q1","Q1","Q1","Q2","Q2","Q2","Q3","Q3","Q3","Q4","Q4","Q4"},MONTH(A90))</f>
        <v/>
      </c>
    </row>
    <row r="91">
      <c r="A91" s="18" t="n"/>
      <c r="B91" s="15" t="n"/>
      <c r="K91">
        <f>TEXT(A91,"MMM-YY")</f>
        <v/>
      </c>
      <c r="L91">
        <f>HOUR(B91)</f>
        <v/>
      </c>
      <c r="M91">
        <f>IF(L91&lt;6,"Night",IF(L91&lt;12,"Morning",IF(L91&lt;18,"Afternoon","Evening")))</f>
        <v/>
      </c>
      <c r="N91">
        <f>TEXT(A91,"DDD")</f>
        <v/>
      </c>
      <c r="O91">
        <f>WEEKNUM(A91)</f>
        <v/>
      </c>
      <c r="P91">
        <f>INDEX({"Q1","Q1","Q1","Q2","Q2","Q2","Q3","Q3","Q3","Q4","Q4","Q4"},MONTH(A91))</f>
        <v/>
      </c>
    </row>
    <row r="92">
      <c r="A92" s="18" t="n"/>
      <c r="B92" s="15" t="n"/>
      <c r="K92">
        <f>TEXT(A92,"MMM-YY")</f>
        <v/>
      </c>
      <c r="L92">
        <f>HOUR(B92)</f>
        <v/>
      </c>
      <c r="M92">
        <f>IF(L92&lt;6,"Night",IF(L92&lt;12,"Morning",IF(L92&lt;18,"Afternoon","Evening")))</f>
        <v/>
      </c>
      <c r="N92">
        <f>TEXT(A92,"DDD")</f>
        <v/>
      </c>
      <c r="O92">
        <f>WEEKNUM(A92)</f>
        <v/>
      </c>
      <c r="P92">
        <f>INDEX({"Q1","Q1","Q1","Q2","Q2","Q2","Q3","Q3","Q3","Q4","Q4","Q4"},MONTH(A92))</f>
        <v/>
      </c>
    </row>
    <row r="93">
      <c r="A93" s="18" t="n"/>
      <c r="B93" s="15" t="n"/>
      <c r="K93">
        <f>TEXT(A93,"MMM-YY")</f>
        <v/>
      </c>
      <c r="L93">
        <f>HOUR(B93)</f>
        <v/>
      </c>
      <c r="M93">
        <f>IF(L93&lt;6,"Night",IF(L93&lt;12,"Morning",IF(L93&lt;18,"Afternoon","Evening")))</f>
        <v/>
      </c>
      <c r="N93">
        <f>TEXT(A93,"DDD")</f>
        <v/>
      </c>
      <c r="O93">
        <f>WEEKNUM(A93)</f>
        <v/>
      </c>
      <c r="P93">
        <f>INDEX({"Q1","Q1","Q1","Q2","Q2","Q2","Q3","Q3","Q3","Q4","Q4","Q4"},MONTH(A93))</f>
        <v/>
      </c>
    </row>
    <row r="94">
      <c r="A94" s="18" t="n"/>
      <c r="B94" s="15" t="n"/>
      <c r="K94">
        <f>TEXT(A94,"MMM-YY")</f>
        <v/>
      </c>
      <c r="L94">
        <f>HOUR(B94)</f>
        <v/>
      </c>
      <c r="M94">
        <f>IF(L94&lt;6,"Night",IF(L94&lt;12,"Morning",IF(L94&lt;18,"Afternoon","Evening")))</f>
        <v/>
      </c>
      <c r="N94">
        <f>TEXT(A94,"DDD")</f>
        <v/>
      </c>
      <c r="O94">
        <f>WEEKNUM(A94)</f>
        <v/>
      </c>
      <c r="P94">
        <f>INDEX({"Q1","Q1","Q1","Q2","Q2","Q2","Q3","Q3","Q3","Q4","Q4","Q4"},MONTH(A94))</f>
        <v/>
      </c>
    </row>
    <row r="95">
      <c r="A95" s="18" t="n"/>
      <c r="B95" s="15" t="n"/>
      <c r="K95">
        <f>TEXT(A95,"MMM-YY")</f>
        <v/>
      </c>
      <c r="L95">
        <f>HOUR(B95)</f>
        <v/>
      </c>
      <c r="M95">
        <f>IF(L95&lt;6,"Night",IF(L95&lt;12,"Morning",IF(L95&lt;18,"Afternoon","Evening")))</f>
        <v/>
      </c>
      <c r="N95">
        <f>TEXT(A95,"DDD")</f>
        <v/>
      </c>
      <c r="O95">
        <f>WEEKNUM(A95)</f>
        <v/>
      </c>
      <c r="P95">
        <f>INDEX({"Q1","Q1","Q1","Q2","Q2","Q2","Q3","Q3","Q3","Q4","Q4","Q4"},MONTH(A95))</f>
        <v/>
      </c>
    </row>
    <row r="96">
      <c r="A96" s="18" t="n"/>
      <c r="B96" s="15" t="n"/>
      <c r="K96">
        <f>TEXT(A96,"MMM-YY")</f>
        <v/>
      </c>
      <c r="L96">
        <f>HOUR(B96)</f>
        <v/>
      </c>
      <c r="M96">
        <f>IF(L96&lt;6,"Night",IF(L96&lt;12,"Morning",IF(L96&lt;18,"Afternoon","Evening")))</f>
        <v/>
      </c>
      <c r="N96">
        <f>TEXT(A96,"DDD")</f>
        <v/>
      </c>
      <c r="O96">
        <f>WEEKNUM(A96)</f>
        <v/>
      </c>
      <c r="P96">
        <f>INDEX({"Q1","Q1","Q1","Q2","Q2","Q2","Q3","Q3","Q3","Q4","Q4","Q4"},MONTH(A96))</f>
        <v/>
      </c>
    </row>
    <row r="97">
      <c r="A97" s="18" t="n"/>
      <c r="B97" s="15" t="n"/>
      <c r="K97">
        <f>TEXT(A97,"MMM-YY")</f>
        <v/>
      </c>
      <c r="L97">
        <f>HOUR(B97)</f>
        <v/>
      </c>
      <c r="M97">
        <f>IF(L97&lt;6,"Night",IF(L97&lt;12,"Morning",IF(L97&lt;18,"Afternoon","Evening")))</f>
        <v/>
      </c>
      <c r="N97">
        <f>TEXT(A97,"DDD")</f>
        <v/>
      </c>
      <c r="O97">
        <f>WEEKNUM(A97)</f>
        <v/>
      </c>
      <c r="P97">
        <f>INDEX({"Q1","Q1","Q1","Q2","Q2","Q2","Q3","Q3","Q3","Q4","Q4","Q4"},MONTH(A97))</f>
        <v/>
      </c>
    </row>
    <row r="98">
      <c r="A98" s="18" t="n"/>
      <c r="B98" s="15" t="n"/>
      <c r="K98">
        <f>TEXT(A98,"MMM-YY")</f>
        <v/>
      </c>
      <c r="L98">
        <f>HOUR(B98)</f>
        <v/>
      </c>
      <c r="M98">
        <f>IF(L98&lt;6,"Night",IF(L98&lt;12,"Morning",IF(L98&lt;18,"Afternoon","Evening")))</f>
        <v/>
      </c>
      <c r="N98">
        <f>TEXT(A98,"DDD")</f>
        <v/>
      </c>
      <c r="O98">
        <f>WEEKNUM(A98)</f>
        <v/>
      </c>
      <c r="P98">
        <f>INDEX({"Q1","Q1","Q1","Q2","Q2","Q2","Q3","Q3","Q3","Q4","Q4","Q4"},MONTH(A98))</f>
        <v/>
      </c>
    </row>
    <row r="99">
      <c r="A99" s="18" t="n"/>
      <c r="B99" s="15" t="n"/>
      <c r="K99">
        <f>TEXT(A99,"MMM-YY")</f>
        <v/>
      </c>
      <c r="L99">
        <f>HOUR(B99)</f>
        <v/>
      </c>
      <c r="M99">
        <f>IF(L99&lt;6,"Night",IF(L99&lt;12,"Morning",IF(L99&lt;18,"Afternoon","Evening")))</f>
        <v/>
      </c>
      <c r="N99">
        <f>TEXT(A99,"DDD")</f>
        <v/>
      </c>
      <c r="O99">
        <f>WEEKNUM(A99)</f>
        <v/>
      </c>
      <c r="P99">
        <f>INDEX({"Q1","Q1","Q1","Q2","Q2","Q2","Q3","Q3","Q3","Q4","Q4","Q4"},MONTH(A99))</f>
        <v/>
      </c>
    </row>
    <row r="100">
      <c r="A100" s="18" t="n"/>
      <c r="B100" s="15" t="n"/>
      <c r="K100">
        <f>TEXT(A100,"MMM-YY")</f>
        <v/>
      </c>
      <c r="L100">
        <f>HOUR(B100)</f>
        <v/>
      </c>
      <c r="M100">
        <f>IF(L100&lt;6,"Night",IF(L100&lt;12,"Morning",IF(L100&lt;18,"Afternoon","Evening")))</f>
        <v/>
      </c>
      <c r="N100">
        <f>TEXT(A100,"DDD")</f>
        <v/>
      </c>
      <c r="O100">
        <f>WEEKNUM(A100)</f>
        <v/>
      </c>
      <c r="P100">
        <f>INDEX({"Q1","Q1","Q1","Q2","Q2","Q2","Q3","Q3","Q3","Q4","Q4","Q4"},MONTH(A100))</f>
        <v/>
      </c>
    </row>
    <row r="101">
      <c r="A101" s="18" t="n"/>
      <c r="B101" s="15" t="n"/>
      <c r="K101">
        <f>TEXT(A101,"MMM-YY")</f>
        <v/>
      </c>
      <c r="L101">
        <f>HOUR(B101)</f>
        <v/>
      </c>
      <c r="M101">
        <f>IF(L101&lt;6,"Night",IF(L101&lt;12,"Morning",IF(L101&lt;18,"Afternoon","Evening")))</f>
        <v/>
      </c>
      <c r="N101">
        <f>TEXT(A101,"DDD")</f>
        <v/>
      </c>
      <c r="O101">
        <f>WEEKNUM(A101)</f>
        <v/>
      </c>
      <c r="P101">
        <f>INDEX({"Q1","Q1","Q1","Q2","Q2","Q2","Q3","Q3","Q3","Q4","Q4","Q4"},MONTH(A101))</f>
        <v/>
      </c>
    </row>
    <row r="102">
      <c r="A102" s="18" t="n"/>
      <c r="B102" s="15" t="n"/>
      <c r="K102">
        <f>TEXT(A102,"MMM-YY")</f>
        <v/>
      </c>
      <c r="L102">
        <f>HOUR(B102)</f>
        <v/>
      </c>
      <c r="M102">
        <f>IF(L102&lt;6,"Night",IF(L102&lt;12,"Morning",IF(L102&lt;18,"Afternoon","Evening")))</f>
        <v/>
      </c>
      <c r="N102">
        <f>TEXT(A102,"DDD")</f>
        <v/>
      </c>
      <c r="O102">
        <f>WEEKNUM(A102)</f>
        <v/>
      </c>
      <c r="P102">
        <f>INDEX({"Q1","Q1","Q1","Q2","Q2","Q2","Q3","Q3","Q3","Q4","Q4","Q4"},MONTH(A102))</f>
        <v/>
      </c>
    </row>
    <row r="103">
      <c r="A103" s="18" t="n"/>
      <c r="B103" s="15" t="n"/>
      <c r="K103">
        <f>TEXT(A103,"MMM-YY")</f>
        <v/>
      </c>
      <c r="L103">
        <f>HOUR(B103)</f>
        <v/>
      </c>
      <c r="M103">
        <f>IF(L103&lt;6,"Night",IF(L103&lt;12,"Morning",IF(L103&lt;18,"Afternoon","Evening")))</f>
        <v/>
      </c>
      <c r="N103">
        <f>TEXT(A103,"DDD")</f>
        <v/>
      </c>
      <c r="O103">
        <f>WEEKNUM(A103)</f>
        <v/>
      </c>
      <c r="P103">
        <f>INDEX({"Q1","Q1","Q1","Q2","Q2","Q2","Q3","Q3","Q3","Q4","Q4","Q4"},MONTH(A103))</f>
        <v/>
      </c>
    </row>
    <row r="104">
      <c r="A104" s="18" t="n"/>
      <c r="B104" s="15" t="n"/>
      <c r="K104">
        <f>TEXT(A104,"MMM-YY")</f>
        <v/>
      </c>
      <c r="L104">
        <f>HOUR(B104)</f>
        <v/>
      </c>
      <c r="M104">
        <f>IF(L104&lt;6,"Night",IF(L104&lt;12,"Morning",IF(L104&lt;18,"Afternoon","Evening")))</f>
        <v/>
      </c>
      <c r="N104">
        <f>TEXT(A104,"DDD")</f>
        <v/>
      </c>
      <c r="O104">
        <f>WEEKNUM(A104)</f>
        <v/>
      </c>
      <c r="P104">
        <f>INDEX({"Q1","Q1","Q1","Q2","Q2","Q2","Q3","Q3","Q3","Q4","Q4","Q4"},MONTH(A104))</f>
        <v/>
      </c>
    </row>
    <row r="105">
      <c r="A105" s="18" t="n"/>
      <c r="B105" s="15" t="n"/>
      <c r="K105">
        <f>TEXT(A105,"MMM-YY")</f>
        <v/>
      </c>
      <c r="L105">
        <f>HOUR(B105)</f>
        <v/>
      </c>
      <c r="M105">
        <f>IF(L105&lt;6,"Night",IF(L105&lt;12,"Morning",IF(L105&lt;18,"Afternoon","Evening")))</f>
        <v/>
      </c>
      <c r="N105">
        <f>TEXT(A105,"DDD")</f>
        <v/>
      </c>
      <c r="O105">
        <f>WEEKNUM(A105)</f>
        <v/>
      </c>
      <c r="P105">
        <f>INDEX({"Q1","Q1","Q1","Q2","Q2","Q2","Q3","Q3","Q3","Q4","Q4","Q4"},MONTH(A105))</f>
        <v/>
      </c>
    </row>
    <row r="106">
      <c r="A106" s="18" t="n"/>
      <c r="B106" s="15" t="n"/>
      <c r="K106">
        <f>TEXT(A106,"MMM-YY")</f>
        <v/>
      </c>
      <c r="L106">
        <f>HOUR(B106)</f>
        <v/>
      </c>
      <c r="M106">
        <f>IF(L106&lt;6,"Night",IF(L106&lt;12,"Morning",IF(L106&lt;18,"Afternoon","Evening")))</f>
        <v/>
      </c>
      <c r="N106">
        <f>TEXT(A106,"DDD")</f>
        <v/>
      </c>
      <c r="O106">
        <f>WEEKNUM(A106)</f>
        <v/>
      </c>
      <c r="P106">
        <f>INDEX({"Q1","Q1","Q1","Q2","Q2","Q2","Q3","Q3","Q3","Q4","Q4","Q4"},MONTH(A106))</f>
        <v/>
      </c>
    </row>
    <row r="107">
      <c r="A107" s="18" t="n"/>
      <c r="B107" s="15" t="n"/>
      <c r="K107">
        <f>TEXT(A107,"MMM-YY")</f>
        <v/>
      </c>
      <c r="L107">
        <f>HOUR(B107)</f>
        <v/>
      </c>
      <c r="M107">
        <f>IF(L107&lt;6,"Night",IF(L107&lt;12,"Morning",IF(L107&lt;18,"Afternoon","Evening")))</f>
        <v/>
      </c>
      <c r="N107">
        <f>TEXT(A107,"DDD")</f>
        <v/>
      </c>
      <c r="O107">
        <f>WEEKNUM(A107)</f>
        <v/>
      </c>
      <c r="P107">
        <f>INDEX({"Q1","Q1","Q1","Q2","Q2","Q2","Q3","Q3","Q3","Q4","Q4","Q4"},MONTH(A107))</f>
        <v/>
      </c>
    </row>
    <row r="108">
      <c r="A108" s="18" t="n"/>
      <c r="B108" s="15" t="n"/>
      <c r="K108">
        <f>TEXT(A108,"MMM-YY")</f>
        <v/>
      </c>
      <c r="L108">
        <f>HOUR(B108)</f>
        <v/>
      </c>
      <c r="M108">
        <f>IF(L108&lt;6,"Night",IF(L108&lt;12,"Morning",IF(L108&lt;18,"Afternoon","Evening")))</f>
        <v/>
      </c>
      <c r="N108">
        <f>TEXT(A108,"DDD")</f>
        <v/>
      </c>
      <c r="O108">
        <f>WEEKNUM(A108)</f>
        <v/>
      </c>
      <c r="P108">
        <f>INDEX({"Q1","Q1","Q1","Q2","Q2","Q2","Q3","Q3","Q3","Q4","Q4","Q4"},MONTH(A108))</f>
        <v/>
      </c>
    </row>
    <row r="109">
      <c r="A109" s="18" t="n"/>
      <c r="B109" s="15" t="n"/>
      <c r="K109">
        <f>TEXT(A109,"MMM-YY")</f>
        <v/>
      </c>
      <c r="L109">
        <f>HOUR(B109)</f>
        <v/>
      </c>
      <c r="M109">
        <f>IF(L109&lt;6,"Night",IF(L109&lt;12,"Morning",IF(L109&lt;18,"Afternoon","Evening")))</f>
        <v/>
      </c>
      <c r="N109">
        <f>TEXT(A109,"DDD")</f>
        <v/>
      </c>
      <c r="O109">
        <f>WEEKNUM(A109)</f>
        <v/>
      </c>
      <c r="P109">
        <f>INDEX({"Q1","Q1","Q1","Q2","Q2","Q2","Q3","Q3","Q3","Q4","Q4","Q4"},MONTH(A109))</f>
        <v/>
      </c>
    </row>
    <row r="110">
      <c r="A110" s="18" t="n"/>
      <c r="B110" s="15" t="n"/>
      <c r="K110">
        <f>TEXT(A110,"MMM-YY")</f>
        <v/>
      </c>
      <c r="L110">
        <f>HOUR(B110)</f>
        <v/>
      </c>
      <c r="M110">
        <f>IF(L110&lt;6,"Night",IF(L110&lt;12,"Morning",IF(L110&lt;18,"Afternoon","Evening")))</f>
        <v/>
      </c>
      <c r="N110">
        <f>TEXT(A110,"DDD")</f>
        <v/>
      </c>
      <c r="O110">
        <f>WEEKNUM(A110)</f>
        <v/>
      </c>
      <c r="P110">
        <f>INDEX({"Q1","Q1","Q1","Q2","Q2","Q2","Q3","Q3","Q3","Q4","Q4","Q4"},MONTH(A110))</f>
        <v/>
      </c>
    </row>
    <row r="111">
      <c r="A111" s="18" t="n"/>
      <c r="B111" s="15" t="n"/>
      <c r="K111">
        <f>TEXT(A111,"MMM-YY")</f>
        <v/>
      </c>
      <c r="L111">
        <f>HOUR(B111)</f>
        <v/>
      </c>
      <c r="M111">
        <f>IF(L111&lt;6,"Night",IF(L111&lt;12,"Morning",IF(L111&lt;18,"Afternoon","Evening")))</f>
        <v/>
      </c>
      <c r="N111">
        <f>TEXT(A111,"DDD")</f>
        <v/>
      </c>
      <c r="O111">
        <f>WEEKNUM(A111)</f>
        <v/>
      </c>
      <c r="P111">
        <f>INDEX({"Q1","Q1","Q1","Q2","Q2","Q2","Q3","Q3","Q3","Q4","Q4","Q4"},MONTH(A111))</f>
        <v/>
      </c>
    </row>
    <row r="112">
      <c r="A112" s="18" t="n"/>
      <c r="B112" s="15" t="n"/>
      <c r="K112">
        <f>TEXT(A112,"MMM-YY")</f>
        <v/>
      </c>
      <c r="L112">
        <f>HOUR(B112)</f>
        <v/>
      </c>
      <c r="M112">
        <f>IF(L112&lt;6,"Night",IF(L112&lt;12,"Morning",IF(L112&lt;18,"Afternoon","Evening")))</f>
        <v/>
      </c>
      <c r="N112">
        <f>TEXT(A112,"DDD")</f>
        <v/>
      </c>
      <c r="O112">
        <f>WEEKNUM(A112)</f>
        <v/>
      </c>
      <c r="P112">
        <f>INDEX({"Q1","Q1","Q1","Q2","Q2","Q2","Q3","Q3","Q3","Q4","Q4","Q4"},MONTH(A112))</f>
        <v/>
      </c>
    </row>
    <row r="113">
      <c r="A113" s="18" t="n"/>
      <c r="B113" s="15" t="n"/>
      <c r="K113">
        <f>TEXT(A113,"MMM-YY")</f>
        <v/>
      </c>
      <c r="L113">
        <f>HOUR(B113)</f>
        <v/>
      </c>
      <c r="M113">
        <f>IF(L113&lt;6,"Night",IF(L113&lt;12,"Morning",IF(L113&lt;18,"Afternoon","Evening")))</f>
        <v/>
      </c>
      <c r="N113">
        <f>TEXT(A113,"DDD")</f>
        <v/>
      </c>
      <c r="O113">
        <f>WEEKNUM(A113)</f>
        <v/>
      </c>
      <c r="P113">
        <f>INDEX({"Q1","Q1","Q1","Q2","Q2","Q2","Q3","Q3","Q3","Q4","Q4","Q4"},MONTH(A113))</f>
        <v/>
      </c>
    </row>
    <row r="114">
      <c r="A114" s="18" t="n"/>
      <c r="B114" s="15" t="n"/>
      <c r="K114">
        <f>TEXT(A114,"MMM-YY")</f>
        <v/>
      </c>
      <c r="L114">
        <f>HOUR(B114)</f>
        <v/>
      </c>
      <c r="M114">
        <f>IF(L114&lt;6,"Night",IF(L114&lt;12,"Morning",IF(L114&lt;18,"Afternoon","Evening")))</f>
        <v/>
      </c>
      <c r="N114">
        <f>TEXT(A114,"DDD")</f>
        <v/>
      </c>
      <c r="O114">
        <f>WEEKNUM(A114)</f>
        <v/>
      </c>
      <c r="P114">
        <f>INDEX({"Q1","Q1","Q1","Q2","Q2","Q2","Q3","Q3","Q3","Q4","Q4","Q4"},MONTH(A114))</f>
        <v/>
      </c>
    </row>
    <row r="115">
      <c r="A115" s="18" t="n"/>
      <c r="B115" s="15" t="n"/>
      <c r="K115">
        <f>TEXT(A115,"MMM-YY")</f>
        <v/>
      </c>
      <c r="L115">
        <f>HOUR(B115)</f>
        <v/>
      </c>
      <c r="M115">
        <f>IF(L115&lt;6,"Night",IF(L115&lt;12,"Morning",IF(L115&lt;18,"Afternoon","Evening")))</f>
        <v/>
      </c>
      <c r="N115">
        <f>TEXT(A115,"DDD")</f>
        <v/>
      </c>
      <c r="O115">
        <f>WEEKNUM(A115)</f>
        <v/>
      </c>
      <c r="P115">
        <f>INDEX({"Q1","Q1","Q1","Q2","Q2","Q2","Q3","Q3","Q3","Q4","Q4","Q4"},MONTH(A115))</f>
        <v/>
      </c>
    </row>
    <row r="116">
      <c r="A116" s="18" t="n"/>
      <c r="B116" s="15" t="n"/>
      <c r="K116">
        <f>TEXT(A116,"MMM-YY")</f>
        <v/>
      </c>
      <c r="L116">
        <f>HOUR(B116)</f>
        <v/>
      </c>
      <c r="M116">
        <f>IF(L116&lt;6,"Night",IF(L116&lt;12,"Morning",IF(L116&lt;18,"Afternoon","Evening")))</f>
        <v/>
      </c>
      <c r="N116">
        <f>TEXT(A116,"DDD")</f>
        <v/>
      </c>
      <c r="O116">
        <f>WEEKNUM(A116)</f>
        <v/>
      </c>
      <c r="P116">
        <f>INDEX({"Q1","Q1","Q1","Q2","Q2","Q2","Q3","Q3","Q3","Q4","Q4","Q4"},MONTH(A116))</f>
        <v/>
      </c>
    </row>
    <row r="117">
      <c r="A117" s="18" t="n"/>
      <c r="B117" s="15" t="n"/>
      <c r="K117">
        <f>TEXT(A117,"MMM-YY")</f>
        <v/>
      </c>
      <c r="L117">
        <f>HOUR(B117)</f>
        <v/>
      </c>
      <c r="M117">
        <f>IF(L117&lt;6,"Night",IF(L117&lt;12,"Morning",IF(L117&lt;18,"Afternoon","Evening")))</f>
        <v/>
      </c>
      <c r="N117">
        <f>TEXT(A117,"DDD")</f>
        <v/>
      </c>
      <c r="O117">
        <f>WEEKNUM(A117)</f>
        <v/>
      </c>
      <c r="P117">
        <f>INDEX({"Q1","Q1","Q1","Q2","Q2","Q2","Q3","Q3","Q3","Q4","Q4","Q4"},MONTH(A117))</f>
        <v/>
      </c>
    </row>
    <row r="118">
      <c r="A118" s="18" t="n"/>
      <c r="B118" s="15" t="n"/>
      <c r="K118">
        <f>TEXT(A118,"MMM-YY")</f>
        <v/>
      </c>
      <c r="L118">
        <f>HOUR(B118)</f>
        <v/>
      </c>
      <c r="M118">
        <f>IF(L118&lt;6,"Night",IF(L118&lt;12,"Morning",IF(L118&lt;18,"Afternoon","Evening")))</f>
        <v/>
      </c>
      <c r="N118">
        <f>TEXT(A118,"DDD")</f>
        <v/>
      </c>
      <c r="O118">
        <f>WEEKNUM(A118)</f>
        <v/>
      </c>
      <c r="P118">
        <f>INDEX({"Q1","Q1","Q1","Q2","Q2","Q2","Q3","Q3","Q3","Q4","Q4","Q4"},MONTH(A118))</f>
        <v/>
      </c>
    </row>
    <row r="119">
      <c r="A119" s="18" t="n"/>
      <c r="B119" s="15" t="n"/>
      <c r="K119">
        <f>TEXT(A119,"MMM-YY")</f>
        <v/>
      </c>
      <c r="L119">
        <f>HOUR(B119)</f>
        <v/>
      </c>
      <c r="M119">
        <f>IF(L119&lt;6,"Night",IF(L119&lt;12,"Morning",IF(L119&lt;18,"Afternoon","Evening")))</f>
        <v/>
      </c>
      <c r="N119">
        <f>TEXT(A119,"DDD")</f>
        <v/>
      </c>
      <c r="O119">
        <f>WEEKNUM(A119)</f>
        <v/>
      </c>
      <c r="P119">
        <f>INDEX({"Q1","Q1","Q1","Q2","Q2","Q2","Q3","Q3","Q3","Q4","Q4","Q4"},MONTH(A119))</f>
        <v/>
      </c>
    </row>
    <row r="120">
      <c r="A120" s="18" t="n"/>
      <c r="B120" s="15" t="n"/>
      <c r="K120">
        <f>TEXT(A120,"MMM-YY")</f>
        <v/>
      </c>
      <c r="L120">
        <f>HOUR(B120)</f>
        <v/>
      </c>
      <c r="M120">
        <f>IF(L120&lt;6,"Night",IF(L120&lt;12,"Morning",IF(L120&lt;18,"Afternoon","Evening")))</f>
        <v/>
      </c>
      <c r="N120">
        <f>TEXT(A120,"DDD")</f>
        <v/>
      </c>
      <c r="O120">
        <f>WEEKNUM(A120)</f>
        <v/>
      </c>
      <c r="P120">
        <f>INDEX({"Q1","Q1","Q1","Q2","Q2","Q2","Q3","Q3","Q3","Q4","Q4","Q4"},MONTH(A120))</f>
        <v/>
      </c>
    </row>
    <row r="121">
      <c r="A121" s="18" t="n"/>
      <c r="B121" s="15" t="n"/>
      <c r="K121">
        <f>TEXT(A121,"MMM-YY")</f>
        <v/>
      </c>
      <c r="L121">
        <f>HOUR(B121)</f>
        <v/>
      </c>
      <c r="M121">
        <f>IF(L121&lt;6,"Night",IF(L121&lt;12,"Morning",IF(L121&lt;18,"Afternoon","Evening")))</f>
        <v/>
      </c>
      <c r="N121">
        <f>TEXT(A121,"DDD")</f>
        <v/>
      </c>
      <c r="O121">
        <f>WEEKNUM(A121)</f>
        <v/>
      </c>
      <c r="P121">
        <f>INDEX({"Q1","Q1","Q1","Q2","Q2","Q2","Q3","Q3","Q3","Q4","Q4","Q4"},MONTH(A121))</f>
        <v/>
      </c>
    </row>
    <row r="122">
      <c r="A122" s="18" t="n"/>
      <c r="B122" s="15" t="n"/>
      <c r="K122">
        <f>TEXT(A122,"MMM-YY")</f>
        <v/>
      </c>
      <c r="L122">
        <f>HOUR(B122)</f>
        <v/>
      </c>
      <c r="M122">
        <f>IF(L122&lt;6,"Night",IF(L122&lt;12,"Morning",IF(L122&lt;18,"Afternoon","Evening")))</f>
        <v/>
      </c>
      <c r="N122">
        <f>TEXT(A122,"DDD")</f>
        <v/>
      </c>
      <c r="O122">
        <f>WEEKNUM(A122)</f>
        <v/>
      </c>
      <c r="P122">
        <f>INDEX({"Q1","Q1","Q1","Q2","Q2","Q2","Q3","Q3","Q3","Q4","Q4","Q4"},MONTH(A122))</f>
        <v/>
      </c>
    </row>
    <row r="123">
      <c r="A123" s="18" t="n"/>
      <c r="B123" s="15" t="n"/>
      <c r="K123">
        <f>TEXT(A123,"MMM-YY")</f>
        <v/>
      </c>
      <c r="L123">
        <f>HOUR(B123)</f>
        <v/>
      </c>
      <c r="M123">
        <f>IF(L123&lt;6,"Night",IF(L123&lt;12,"Morning",IF(L123&lt;18,"Afternoon","Evening")))</f>
        <v/>
      </c>
      <c r="N123">
        <f>TEXT(A123,"DDD")</f>
        <v/>
      </c>
      <c r="O123">
        <f>WEEKNUM(A123)</f>
        <v/>
      </c>
      <c r="P123">
        <f>INDEX({"Q1","Q1","Q1","Q2","Q2","Q2","Q3","Q3","Q3","Q4","Q4","Q4"},MONTH(A123))</f>
        <v/>
      </c>
    </row>
    <row r="124">
      <c r="A124" s="18" t="n"/>
      <c r="B124" s="15" t="n"/>
      <c r="K124">
        <f>TEXT(A124,"MMM-YY")</f>
        <v/>
      </c>
      <c r="L124">
        <f>HOUR(B124)</f>
        <v/>
      </c>
      <c r="M124">
        <f>IF(L124&lt;6,"Night",IF(L124&lt;12,"Morning",IF(L124&lt;18,"Afternoon","Evening")))</f>
        <v/>
      </c>
      <c r="N124">
        <f>TEXT(A124,"DDD")</f>
        <v/>
      </c>
      <c r="O124">
        <f>WEEKNUM(A124)</f>
        <v/>
      </c>
      <c r="P124">
        <f>INDEX({"Q1","Q1","Q1","Q2","Q2","Q2","Q3","Q3","Q3","Q4","Q4","Q4"},MONTH(A124))</f>
        <v/>
      </c>
    </row>
    <row r="125">
      <c r="A125" s="18" t="n"/>
      <c r="B125" s="15" t="n"/>
      <c r="K125">
        <f>TEXT(A125,"MMM-YY")</f>
        <v/>
      </c>
      <c r="L125">
        <f>HOUR(B125)</f>
        <v/>
      </c>
      <c r="M125">
        <f>IF(L125&lt;6,"Night",IF(L125&lt;12,"Morning",IF(L125&lt;18,"Afternoon","Evening")))</f>
        <v/>
      </c>
      <c r="N125">
        <f>TEXT(A125,"DDD")</f>
        <v/>
      </c>
      <c r="O125">
        <f>WEEKNUM(A125)</f>
        <v/>
      </c>
      <c r="P125">
        <f>INDEX({"Q1","Q1","Q1","Q2","Q2","Q2","Q3","Q3","Q3","Q4","Q4","Q4"},MONTH(A125))</f>
        <v/>
      </c>
    </row>
    <row r="126">
      <c r="A126" s="18" t="n"/>
      <c r="B126" s="15" t="n"/>
      <c r="K126">
        <f>TEXT(A126,"MMM-YY")</f>
        <v/>
      </c>
      <c r="L126">
        <f>HOUR(B126)</f>
        <v/>
      </c>
      <c r="M126">
        <f>IF(L126&lt;6,"Night",IF(L126&lt;12,"Morning",IF(L126&lt;18,"Afternoon","Evening")))</f>
        <v/>
      </c>
      <c r="N126">
        <f>TEXT(A126,"DDD")</f>
        <v/>
      </c>
      <c r="O126">
        <f>WEEKNUM(A126)</f>
        <v/>
      </c>
      <c r="P126">
        <f>INDEX({"Q1","Q1","Q1","Q2","Q2","Q2","Q3","Q3","Q3","Q4","Q4","Q4"},MONTH(A126))</f>
        <v/>
      </c>
    </row>
    <row r="127">
      <c r="A127" s="18" t="n"/>
      <c r="B127" s="15" t="n"/>
      <c r="K127">
        <f>TEXT(A127,"MMM-YY")</f>
        <v/>
      </c>
      <c r="L127">
        <f>HOUR(B127)</f>
        <v/>
      </c>
      <c r="M127">
        <f>IF(L127&lt;6,"Night",IF(L127&lt;12,"Morning",IF(L127&lt;18,"Afternoon","Evening")))</f>
        <v/>
      </c>
      <c r="N127">
        <f>TEXT(A127,"DDD")</f>
        <v/>
      </c>
      <c r="O127">
        <f>WEEKNUM(A127)</f>
        <v/>
      </c>
      <c r="P127">
        <f>INDEX({"Q1","Q1","Q1","Q2","Q2","Q2","Q3","Q3","Q3","Q4","Q4","Q4"},MONTH(A127))</f>
        <v/>
      </c>
    </row>
    <row r="128">
      <c r="A128" s="18" t="n"/>
      <c r="B128" s="15" t="n"/>
      <c r="K128">
        <f>TEXT(A128,"MMM-YY")</f>
        <v/>
      </c>
      <c r="L128">
        <f>HOUR(B128)</f>
        <v/>
      </c>
      <c r="M128">
        <f>IF(L128&lt;6,"Night",IF(L128&lt;12,"Morning",IF(L128&lt;18,"Afternoon","Evening")))</f>
        <v/>
      </c>
      <c r="N128">
        <f>TEXT(A128,"DDD")</f>
        <v/>
      </c>
      <c r="O128">
        <f>WEEKNUM(A128)</f>
        <v/>
      </c>
      <c r="P128">
        <f>INDEX({"Q1","Q1","Q1","Q2","Q2","Q2","Q3","Q3","Q3","Q4","Q4","Q4"},MONTH(A128))</f>
        <v/>
      </c>
    </row>
    <row r="129">
      <c r="A129" s="18" t="n"/>
      <c r="B129" s="15" t="n"/>
      <c r="K129">
        <f>TEXT(A129,"MMM-YY")</f>
        <v/>
      </c>
      <c r="L129">
        <f>HOUR(B129)</f>
        <v/>
      </c>
      <c r="M129">
        <f>IF(L129&lt;6,"Night",IF(L129&lt;12,"Morning",IF(L129&lt;18,"Afternoon","Evening")))</f>
        <v/>
      </c>
      <c r="N129">
        <f>TEXT(A129,"DDD")</f>
        <v/>
      </c>
      <c r="O129">
        <f>WEEKNUM(A129)</f>
        <v/>
      </c>
      <c r="P129">
        <f>INDEX({"Q1","Q1","Q1","Q2","Q2","Q2","Q3","Q3","Q3","Q4","Q4","Q4"},MONTH(A129))</f>
        <v/>
      </c>
    </row>
    <row r="130">
      <c r="A130" s="18" t="n"/>
      <c r="B130" s="15" t="n"/>
      <c r="K130">
        <f>TEXT(A130,"MMM-YY")</f>
        <v/>
      </c>
      <c r="L130">
        <f>HOUR(B130)</f>
        <v/>
      </c>
      <c r="M130">
        <f>IF(L130&lt;6,"Night",IF(L130&lt;12,"Morning",IF(L130&lt;18,"Afternoon","Evening")))</f>
        <v/>
      </c>
      <c r="N130">
        <f>TEXT(A130,"DDD")</f>
        <v/>
      </c>
      <c r="O130">
        <f>WEEKNUM(A130)</f>
        <v/>
      </c>
      <c r="P130">
        <f>INDEX({"Q1","Q1","Q1","Q2","Q2","Q2","Q3","Q3","Q3","Q4","Q4","Q4"},MONTH(A130))</f>
        <v/>
      </c>
    </row>
    <row r="131">
      <c r="A131" s="18" t="n"/>
      <c r="B131" s="15" t="n"/>
      <c r="K131">
        <f>TEXT(A131,"MMM-YY")</f>
        <v/>
      </c>
      <c r="L131">
        <f>HOUR(B131)</f>
        <v/>
      </c>
      <c r="M131">
        <f>IF(L131&lt;6,"Night",IF(L131&lt;12,"Morning",IF(L131&lt;18,"Afternoon","Evening")))</f>
        <v/>
      </c>
      <c r="N131">
        <f>TEXT(A131,"DDD")</f>
        <v/>
      </c>
      <c r="O131">
        <f>WEEKNUM(A131)</f>
        <v/>
      </c>
      <c r="P131">
        <f>INDEX({"Q1","Q1","Q1","Q2","Q2","Q2","Q3","Q3","Q3","Q4","Q4","Q4"},MONTH(A131))</f>
        <v/>
      </c>
    </row>
    <row r="132">
      <c r="A132" s="18" t="n"/>
      <c r="B132" s="15" t="n"/>
      <c r="K132">
        <f>TEXT(A132,"MMM-YY")</f>
        <v/>
      </c>
      <c r="L132">
        <f>HOUR(B132)</f>
        <v/>
      </c>
      <c r="M132">
        <f>IF(L132&lt;6,"Night",IF(L132&lt;12,"Morning",IF(L132&lt;18,"Afternoon","Evening")))</f>
        <v/>
      </c>
      <c r="N132">
        <f>TEXT(A132,"DDD")</f>
        <v/>
      </c>
      <c r="O132">
        <f>WEEKNUM(A132)</f>
        <v/>
      </c>
      <c r="P132">
        <f>INDEX({"Q1","Q1","Q1","Q2","Q2","Q2","Q3","Q3","Q3","Q4","Q4","Q4"},MONTH(A132))</f>
        <v/>
      </c>
    </row>
    <row r="133">
      <c r="A133" s="18" t="n"/>
      <c r="B133" s="15" t="n"/>
      <c r="K133">
        <f>TEXT(A133,"MMM-YY")</f>
        <v/>
      </c>
      <c r="L133">
        <f>HOUR(B133)</f>
        <v/>
      </c>
      <c r="M133">
        <f>IF(L133&lt;6,"Night",IF(L133&lt;12,"Morning",IF(L133&lt;18,"Afternoon","Evening")))</f>
        <v/>
      </c>
      <c r="N133">
        <f>TEXT(A133,"DDD")</f>
        <v/>
      </c>
      <c r="O133">
        <f>WEEKNUM(A133)</f>
        <v/>
      </c>
      <c r="P133">
        <f>INDEX({"Q1","Q1","Q1","Q2","Q2","Q2","Q3","Q3","Q3","Q4","Q4","Q4"},MONTH(A133))</f>
        <v/>
      </c>
    </row>
    <row r="134">
      <c r="A134" s="18" t="n"/>
      <c r="B134" s="15" t="n"/>
      <c r="K134">
        <f>TEXT(A134,"MMM-YY")</f>
        <v/>
      </c>
      <c r="L134">
        <f>HOUR(B134)</f>
        <v/>
      </c>
      <c r="M134">
        <f>IF(L134&lt;6,"Night",IF(L134&lt;12,"Morning",IF(L134&lt;18,"Afternoon","Evening")))</f>
        <v/>
      </c>
      <c r="N134">
        <f>TEXT(A134,"DDD")</f>
        <v/>
      </c>
      <c r="O134">
        <f>WEEKNUM(A134)</f>
        <v/>
      </c>
      <c r="P134">
        <f>INDEX({"Q1","Q1","Q1","Q2","Q2","Q2","Q3","Q3","Q3","Q4","Q4","Q4"},MONTH(A134))</f>
        <v/>
      </c>
    </row>
    <row r="135">
      <c r="A135" s="18" t="n"/>
      <c r="B135" s="15" t="n"/>
      <c r="K135">
        <f>TEXT(A135,"MMM-YY")</f>
        <v/>
      </c>
      <c r="L135">
        <f>HOUR(B135)</f>
        <v/>
      </c>
      <c r="M135">
        <f>IF(L135&lt;6,"Night",IF(L135&lt;12,"Morning",IF(L135&lt;18,"Afternoon","Evening")))</f>
        <v/>
      </c>
      <c r="N135">
        <f>TEXT(A135,"DDD")</f>
        <v/>
      </c>
      <c r="O135">
        <f>WEEKNUM(A135)</f>
        <v/>
      </c>
      <c r="P135">
        <f>INDEX({"Q1","Q1","Q1","Q2","Q2","Q2","Q3","Q3","Q3","Q4","Q4","Q4"},MONTH(A135))</f>
        <v/>
      </c>
    </row>
    <row r="136">
      <c r="A136" s="18" t="n"/>
      <c r="B136" s="15" t="n"/>
      <c r="K136">
        <f>TEXT(A136,"MMM-YY")</f>
        <v/>
      </c>
      <c r="L136">
        <f>HOUR(B136)</f>
        <v/>
      </c>
      <c r="M136">
        <f>IF(L136&lt;6,"Night",IF(L136&lt;12,"Morning",IF(L136&lt;18,"Afternoon","Evening")))</f>
        <v/>
      </c>
      <c r="N136">
        <f>TEXT(A136,"DDD")</f>
        <v/>
      </c>
      <c r="O136">
        <f>WEEKNUM(A136)</f>
        <v/>
      </c>
      <c r="P136">
        <f>INDEX({"Q1","Q1","Q1","Q2","Q2","Q2","Q3","Q3","Q3","Q4","Q4","Q4"},MONTH(A136))</f>
        <v/>
      </c>
    </row>
    <row r="137">
      <c r="A137" s="18" t="n"/>
      <c r="B137" s="15" t="n"/>
      <c r="K137">
        <f>TEXT(A137,"MMM-YY")</f>
        <v/>
      </c>
      <c r="L137">
        <f>HOUR(B137)</f>
        <v/>
      </c>
      <c r="M137">
        <f>IF(L137&lt;6,"Night",IF(L137&lt;12,"Morning",IF(L137&lt;18,"Afternoon","Evening")))</f>
        <v/>
      </c>
      <c r="N137">
        <f>TEXT(A137,"DDD")</f>
        <v/>
      </c>
      <c r="O137">
        <f>WEEKNUM(A137)</f>
        <v/>
      </c>
      <c r="P137">
        <f>INDEX({"Q1","Q1","Q1","Q2","Q2","Q2","Q3","Q3","Q3","Q4","Q4","Q4"},MONTH(A137))</f>
        <v/>
      </c>
    </row>
    <row r="138">
      <c r="A138" s="18" t="n"/>
      <c r="B138" s="15" t="n"/>
      <c r="K138">
        <f>TEXT(A138,"MMM-YY")</f>
        <v/>
      </c>
      <c r="L138">
        <f>HOUR(B138)</f>
        <v/>
      </c>
      <c r="M138">
        <f>IF(L138&lt;6,"Night",IF(L138&lt;12,"Morning",IF(L138&lt;18,"Afternoon","Evening")))</f>
        <v/>
      </c>
      <c r="N138">
        <f>TEXT(A138,"DDD")</f>
        <v/>
      </c>
      <c r="O138">
        <f>WEEKNUM(A138)</f>
        <v/>
      </c>
      <c r="P138">
        <f>INDEX({"Q1","Q1","Q1","Q2","Q2","Q2","Q3","Q3","Q3","Q4","Q4","Q4"},MONTH(A138))</f>
        <v/>
      </c>
    </row>
    <row r="139">
      <c r="A139" s="18" t="n"/>
      <c r="B139" s="15" t="n"/>
      <c r="K139">
        <f>TEXT(A139,"MMM-YY")</f>
        <v/>
      </c>
      <c r="L139">
        <f>HOUR(B139)</f>
        <v/>
      </c>
      <c r="M139">
        <f>IF(L139&lt;6,"Night",IF(L139&lt;12,"Morning",IF(L139&lt;18,"Afternoon","Evening")))</f>
        <v/>
      </c>
      <c r="N139">
        <f>TEXT(A139,"DDD")</f>
        <v/>
      </c>
      <c r="O139">
        <f>WEEKNUM(A139)</f>
        <v/>
      </c>
      <c r="P139">
        <f>INDEX({"Q1","Q1","Q1","Q2","Q2","Q2","Q3","Q3","Q3","Q4","Q4","Q4"},MONTH(A139))</f>
        <v/>
      </c>
    </row>
    <row r="140">
      <c r="A140" s="18" t="n"/>
      <c r="B140" s="15" t="n"/>
      <c r="K140">
        <f>TEXT(A140,"MMM-YY")</f>
        <v/>
      </c>
      <c r="L140">
        <f>HOUR(B140)</f>
        <v/>
      </c>
      <c r="M140">
        <f>IF(L140&lt;6,"Night",IF(L140&lt;12,"Morning",IF(L140&lt;18,"Afternoon","Evening")))</f>
        <v/>
      </c>
      <c r="N140">
        <f>TEXT(A140,"DDD")</f>
        <v/>
      </c>
      <c r="O140">
        <f>WEEKNUM(A140)</f>
        <v/>
      </c>
      <c r="P140">
        <f>INDEX({"Q1","Q1","Q1","Q2","Q2","Q2","Q3","Q3","Q3","Q4","Q4","Q4"},MONTH(A140))</f>
        <v/>
      </c>
    </row>
    <row r="141">
      <c r="A141" s="18" t="n"/>
      <c r="B141" s="15" t="n"/>
      <c r="K141">
        <f>TEXT(A141,"MMM-YY")</f>
        <v/>
      </c>
      <c r="L141">
        <f>HOUR(B141)</f>
        <v/>
      </c>
      <c r="M141">
        <f>IF(L141&lt;6,"Night",IF(L141&lt;12,"Morning",IF(L141&lt;18,"Afternoon","Evening")))</f>
        <v/>
      </c>
      <c r="N141">
        <f>TEXT(A141,"DDD")</f>
        <v/>
      </c>
      <c r="O141">
        <f>WEEKNUM(A141)</f>
        <v/>
      </c>
      <c r="P141">
        <f>INDEX({"Q1","Q1","Q1","Q2","Q2","Q2","Q3","Q3","Q3","Q4","Q4","Q4"},MONTH(A141))</f>
        <v/>
      </c>
    </row>
    <row r="142">
      <c r="A142" s="18" t="n"/>
      <c r="B142" s="15" t="n"/>
      <c r="K142">
        <f>TEXT(A142,"MMM-YY")</f>
        <v/>
      </c>
      <c r="L142">
        <f>HOUR(B142)</f>
        <v/>
      </c>
      <c r="M142">
        <f>IF(L142&lt;6,"Night",IF(L142&lt;12,"Morning",IF(L142&lt;18,"Afternoon","Evening")))</f>
        <v/>
      </c>
      <c r="N142">
        <f>TEXT(A142,"DDD")</f>
        <v/>
      </c>
      <c r="O142">
        <f>WEEKNUM(A142)</f>
        <v/>
      </c>
      <c r="P142">
        <f>INDEX({"Q1","Q1","Q1","Q2","Q2","Q2","Q3","Q3","Q3","Q4","Q4","Q4"},MONTH(A142))</f>
        <v/>
      </c>
    </row>
    <row r="143">
      <c r="A143" s="18" t="n"/>
      <c r="B143" s="15" t="n"/>
      <c r="K143">
        <f>TEXT(A143,"MMM-YY")</f>
        <v/>
      </c>
      <c r="L143">
        <f>HOUR(B143)</f>
        <v/>
      </c>
      <c r="M143">
        <f>IF(L143&lt;6,"Night",IF(L143&lt;12,"Morning",IF(L143&lt;18,"Afternoon","Evening")))</f>
        <v/>
      </c>
      <c r="N143">
        <f>TEXT(A143,"DDD")</f>
        <v/>
      </c>
      <c r="O143">
        <f>WEEKNUM(A143)</f>
        <v/>
      </c>
      <c r="P143">
        <f>INDEX({"Q1","Q1","Q1","Q2","Q2","Q2","Q3","Q3","Q3","Q4","Q4","Q4"},MONTH(A143))</f>
        <v/>
      </c>
    </row>
    <row r="144">
      <c r="A144" s="18" t="n"/>
      <c r="B144" s="15" t="n"/>
      <c r="K144">
        <f>TEXT(A144,"MMM-YY")</f>
        <v/>
      </c>
      <c r="L144">
        <f>HOUR(B144)</f>
        <v/>
      </c>
      <c r="M144">
        <f>IF(L144&lt;6,"Night",IF(L144&lt;12,"Morning",IF(L144&lt;18,"Afternoon","Evening")))</f>
        <v/>
      </c>
      <c r="N144">
        <f>TEXT(A144,"DDD")</f>
        <v/>
      </c>
      <c r="O144">
        <f>WEEKNUM(A144)</f>
        <v/>
      </c>
      <c r="P144">
        <f>INDEX({"Q1","Q1","Q1","Q2","Q2","Q2","Q3","Q3","Q3","Q4","Q4","Q4"},MONTH(A144))</f>
        <v/>
      </c>
    </row>
    <row r="145">
      <c r="A145" s="18" t="n"/>
      <c r="B145" s="15" t="n"/>
      <c r="K145">
        <f>TEXT(A145,"MMM-YY")</f>
        <v/>
      </c>
      <c r="L145">
        <f>HOUR(B145)</f>
        <v/>
      </c>
      <c r="M145">
        <f>IF(L145&lt;6,"Night",IF(L145&lt;12,"Morning",IF(L145&lt;18,"Afternoon","Evening")))</f>
        <v/>
      </c>
      <c r="N145">
        <f>TEXT(A145,"DDD")</f>
        <v/>
      </c>
      <c r="O145">
        <f>WEEKNUM(A145)</f>
        <v/>
      </c>
      <c r="P145">
        <f>INDEX({"Q1","Q1","Q1","Q2","Q2","Q2","Q3","Q3","Q3","Q4","Q4","Q4"},MONTH(A145))</f>
        <v/>
      </c>
    </row>
    <row r="146">
      <c r="A146" s="18" t="n"/>
      <c r="B146" s="15" t="n"/>
      <c r="K146">
        <f>TEXT(A146,"MMM-YY")</f>
        <v/>
      </c>
      <c r="L146">
        <f>HOUR(B146)</f>
        <v/>
      </c>
      <c r="M146">
        <f>IF(L146&lt;6,"Night",IF(L146&lt;12,"Morning",IF(L146&lt;18,"Afternoon","Evening")))</f>
        <v/>
      </c>
      <c r="N146">
        <f>TEXT(A146,"DDD")</f>
        <v/>
      </c>
      <c r="O146">
        <f>WEEKNUM(A146)</f>
        <v/>
      </c>
      <c r="P146">
        <f>INDEX({"Q1","Q1","Q1","Q2","Q2","Q2","Q3","Q3","Q3","Q4","Q4","Q4"},MONTH(A146))</f>
        <v/>
      </c>
    </row>
    <row r="147">
      <c r="A147" s="18" t="n"/>
      <c r="B147" s="15" t="n"/>
      <c r="K147">
        <f>TEXT(A147,"MMM-YY")</f>
        <v/>
      </c>
      <c r="L147">
        <f>HOUR(B147)</f>
        <v/>
      </c>
      <c r="M147">
        <f>IF(L147&lt;6,"Night",IF(L147&lt;12,"Morning",IF(L147&lt;18,"Afternoon","Evening")))</f>
        <v/>
      </c>
      <c r="N147">
        <f>TEXT(A147,"DDD")</f>
        <v/>
      </c>
      <c r="O147">
        <f>WEEKNUM(A147)</f>
        <v/>
      </c>
      <c r="P147">
        <f>INDEX({"Q1","Q1","Q1","Q2","Q2","Q2","Q3","Q3","Q3","Q4","Q4","Q4"},MONTH(A147))</f>
        <v/>
      </c>
    </row>
    <row r="148">
      <c r="A148" s="18" t="n"/>
      <c r="B148" s="15" t="n"/>
      <c r="K148">
        <f>TEXT(A148,"MMM-YY")</f>
        <v/>
      </c>
      <c r="L148">
        <f>HOUR(B148)</f>
        <v/>
      </c>
      <c r="M148">
        <f>IF(L148&lt;6,"Night",IF(L148&lt;12,"Morning",IF(L148&lt;18,"Afternoon","Evening")))</f>
        <v/>
      </c>
      <c r="N148">
        <f>TEXT(A148,"DDD")</f>
        <v/>
      </c>
      <c r="O148">
        <f>WEEKNUM(A148)</f>
        <v/>
      </c>
      <c r="P148">
        <f>INDEX({"Q1","Q1","Q1","Q2","Q2","Q2","Q3","Q3","Q3","Q4","Q4","Q4"},MONTH(A148))</f>
        <v/>
      </c>
    </row>
    <row r="149">
      <c r="A149" s="18" t="n"/>
      <c r="B149" s="15" t="n"/>
      <c r="K149">
        <f>TEXT(A149,"MMM-YY")</f>
        <v/>
      </c>
      <c r="L149">
        <f>HOUR(B149)</f>
        <v/>
      </c>
      <c r="M149">
        <f>IF(L149&lt;6,"Night",IF(L149&lt;12,"Morning",IF(L149&lt;18,"Afternoon","Evening")))</f>
        <v/>
      </c>
      <c r="N149">
        <f>TEXT(A149,"DDD")</f>
        <v/>
      </c>
      <c r="O149">
        <f>WEEKNUM(A149)</f>
        <v/>
      </c>
      <c r="P149">
        <f>INDEX({"Q1","Q1","Q1","Q2","Q2","Q2","Q3","Q3","Q3","Q4","Q4","Q4"},MONTH(A149))</f>
        <v/>
      </c>
    </row>
    <row r="150">
      <c r="A150" s="18" t="n"/>
      <c r="B150" s="15" t="n"/>
      <c r="K150">
        <f>TEXT(A150,"MMM-YY")</f>
        <v/>
      </c>
      <c r="L150">
        <f>HOUR(B150)</f>
        <v/>
      </c>
      <c r="M150">
        <f>IF(L150&lt;6,"Night",IF(L150&lt;12,"Morning",IF(L150&lt;18,"Afternoon","Evening")))</f>
        <v/>
      </c>
      <c r="N150">
        <f>TEXT(A150,"DDD")</f>
        <v/>
      </c>
      <c r="O150">
        <f>WEEKNUM(A150)</f>
        <v/>
      </c>
      <c r="P150">
        <f>INDEX({"Q1","Q1","Q1","Q2","Q2","Q2","Q3","Q3","Q3","Q4","Q4","Q4"},MONTH(A150))</f>
        <v/>
      </c>
    </row>
    <row r="151">
      <c r="A151" s="18" t="n"/>
      <c r="B151" s="15" t="n"/>
      <c r="K151">
        <f>TEXT(A151,"MMM-YY")</f>
        <v/>
      </c>
      <c r="L151">
        <f>HOUR(B151)</f>
        <v/>
      </c>
      <c r="M151">
        <f>IF(L151&lt;6,"Night",IF(L151&lt;12,"Morning",IF(L151&lt;18,"Afternoon","Evening")))</f>
        <v/>
      </c>
      <c r="N151">
        <f>TEXT(A151,"DDD")</f>
        <v/>
      </c>
      <c r="O151">
        <f>WEEKNUM(A151)</f>
        <v/>
      </c>
      <c r="P151">
        <f>INDEX({"Q1","Q1","Q1","Q2","Q2","Q2","Q3","Q3","Q3","Q4","Q4","Q4"},MONTH(A151))</f>
        <v/>
      </c>
    </row>
    <row r="152">
      <c r="A152" s="18" t="n"/>
      <c r="B152" s="15" t="n"/>
      <c r="K152">
        <f>TEXT(A152,"MMM-YY")</f>
        <v/>
      </c>
      <c r="L152">
        <f>HOUR(B152)</f>
        <v/>
      </c>
      <c r="M152">
        <f>IF(L152&lt;6,"Night",IF(L152&lt;12,"Morning",IF(L152&lt;18,"Afternoon","Evening")))</f>
        <v/>
      </c>
      <c r="N152">
        <f>TEXT(A152,"DDD")</f>
        <v/>
      </c>
      <c r="O152">
        <f>WEEKNUM(A152)</f>
        <v/>
      </c>
      <c r="P152">
        <f>INDEX({"Q1","Q1","Q1","Q2","Q2","Q2","Q3","Q3","Q3","Q4","Q4","Q4"},MONTH(A152))</f>
        <v/>
      </c>
    </row>
    <row r="153">
      <c r="A153" s="18" t="n"/>
      <c r="B153" s="15" t="n"/>
      <c r="K153">
        <f>TEXT(A153,"MMM-YY")</f>
        <v/>
      </c>
      <c r="L153">
        <f>HOUR(B153)</f>
        <v/>
      </c>
      <c r="M153">
        <f>IF(L153&lt;6,"Night",IF(L153&lt;12,"Morning",IF(L153&lt;18,"Afternoon","Evening")))</f>
        <v/>
      </c>
      <c r="N153">
        <f>TEXT(A153,"DDD")</f>
        <v/>
      </c>
      <c r="O153">
        <f>WEEKNUM(A153)</f>
        <v/>
      </c>
      <c r="P153">
        <f>INDEX({"Q1","Q1","Q1","Q2","Q2","Q2","Q3","Q3","Q3","Q4","Q4","Q4"},MONTH(A153))</f>
        <v/>
      </c>
    </row>
    <row r="154">
      <c r="A154" s="18" t="n"/>
      <c r="B154" s="15" t="n"/>
      <c r="K154">
        <f>TEXT(A154,"MMM-YY")</f>
        <v/>
      </c>
      <c r="L154">
        <f>HOUR(B154)</f>
        <v/>
      </c>
      <c r="M154">
        <f>IF(L154&lt;6,"Night",IF(L154&lt;12,"Morning",IF(L154&lt;18,"Afternoon","Evening")))</f>
        <v/>
      </c>
      <c r="N154">
        <f>TEXT(A154,"DDD")</f>
        <v/>
      </c>
      <c r="O154">
        <f>WEEKNUM(A154)</f>
        <v/>
      </c>
      <c r="P154">
        <f>INDEX({"Q1","Q1","Q1","Q2","Q2","Q2","Q3","Q3","Q3","Q4","Q4","Q4"},MONTH(A154))</f>
        <v/>
      </c>
    </row>
    <row r="155">
      <c r="A155" s="18" t="n"/>
      <c r="B155" s="15" t="n"/>
      <c r="K155">
        <f>TEXT(A155,"MMM-YY")</f>
        <v/>
      </c>
      <c r="L155">
        <f>HOUR(B155)</f>
        <v/>
      </c>
      <c r="M155">
        <f>IF(L155&lt;6,"Night",IF(L155&lt;12,"Morning",IF(L155&lt;18,"Afternoon","Evening")))</f>
        <v/>
      </c>
      <c r="N155">
        <f>TEXT(A155,"DDD")</f>
        <v/>
      </c>
      <c r="O155">
        <f>WEEKNUM(A155)</f>
        <v/>
      </c>
      <c r="P155">
        <f>INDEX({"Q1","Q1","Q1","Q2","Q2","Q2","Q3","Q3","Q3","Q4","Q4","Q4"},MONTH(A155))</f>
        <v/>
      </c>
    </row>
    <row r="156">
      <c r="A156" s="18" t="n"/>
      <c r="B156" s="15" t="n"/>
      <c r="K156">
        <f>TEXT(A156,"MMM-YY")</f>
        <v/>
      </c>
      <c r="L156">
        <f>HOUR(B156)</f>
        <v/>
      </c>
      <c r="M156">
        <f>IF(L156&lt;6,"Night",IF(L156&lt;12,"Morning",IF(L156&lt;18,"Afternoon","Evening")))</f>
        <v/>
      </c>
      <c r="N156">
        <f>TEXT(A156,"DDD")</f>
        <v/>
      </c>
      <c r="O156">
        <f>WEEKNUM(A156)</f>
        <v/>
      </c>
      <c r="P156">
        <f>INDEX({"Q1","Q1","Q1","Q2","Q2","Q2","Q3","Q3","Q3","Q4","Q4","Q4"},MONTH(A156))</f>
        <v/>
      </c>
    </row>
    <row r="157">
      <c r="A157" s="18" t="n"/>
      <c r="B157" s="15" t="n"/>
      <c r="K157">
        <f>TEXT(A157,"MMM-YY")</f>
        <v/>
      </c>
      <c r="L157">
        <f>HOUR(B157)</f>
        <v/>
      </c>
      <c r="M157">
        <f>IF(L157&lt;6,"Night",IF(L157&lt;12,"Morning",IF(L157&lt;18,"Afternoon","Evening")))</f>
        <v/>
      </c>
      <c r="N157">
        <f>TEXT(A157,"DDD")</f>
        <v/>
      </c>
      <c r="O157">
        <f>WEEKNUM(A157)</f>
        <v/>
      </c>
      <c r="P157">
        <f>INDEX({"Q1","Q1","Q1","Q2","Q2","Q2","Q3","Q3","Q3","Q4","Q4","Q4"},MONTH(A157))</f>
        <v/>
      </c>
    </row>
    <row r="158">
      <c r="A158" s="18" t="n"/>
      <c r="B158" s="15" t="n"/>
      <c r="K158">
        <f>TEXT(A158,"MMM-YY")</f>
        <v/>
      </c>
      <c r="L158">
        <f>HOUR(B158)</f>
        <v/>
      </c>
      <c r="M158">
        <f>IF(L158&lt;6,"Night",IF(L158&lt;12,"Morning",IF(L158&lt;18,"Afternoon","Evening")))</f>
        <v/>
      </c>
      <c r="N158">
        <f>TEXT(A158,"DDD")</f>
        <v/>
      </c>
      <c r="O158">
        <f>WEEKNUM(A158)</f>
        <v/>
      </c>
      <c r="P158">
        <f>INDEX({"Q1","Q1","Q1","Q2","Q2","Q2","Q3","Q3","Q3","Q4","Q4","Q4"},MONTH(A158))</f>
        <v/>
      </c>
    </row>
    <row r="159">
      <c r="A159" s="18" t="n"/>
      <c r="B159" s="15" t="n"/>
      <c r="K159">
        <f>TEXT(A159,"MMM-YY")</f>
        <v/>
      </c>
      <c r="L159">
        <f>HOUR(B159)</f>
        <v/>
      </c>
      <c r="M159">
        <f>IF(L159&lt;6,"Night",IF(L159&lt;12,"Morning",IF(L159&lt;18,"Afternoon","Evening")))</f>
        <v/>
      </c>
      <c r="N159">
        <f>TEXT(A159,"DDD")</f>
        <v/>
      </c>
      <c r="O159">
        <f>WEEKNUM(A159)</f>
        <v/>
      </c>
      <c r="P159">
        <f>INDEX({"Q1","Q1","Q1","Q2","Q2","Q2","Q3","Q3","Q3","Q4","Q4","Q4"},MONTH(A159))</f>
        <v/>
      </c>
    </row>
    <row r="160">
      <c r="A160" s="18" t="n"/>
      <c r="B160" s="15" t="n"/>
      <c r="K160">
        <f>TEXT(A160,"MMM-YY")</f>
        <v/>
      </c>
      <c r="L160">
        <f>HOUR(B160)</f>
        <v/>
      </c>
      <c r="M160">
        <f>IF(L160&lt;6,"Night",IF(L160&lt;12,"Morning",IF(L160&lt;18,"Afternoon","Evening")))</f>
        <v/>
      </c>
      <c r="N160">
        <f>TEXT(A160,"DDD")</f>
        <v/>
      </c>
      <c r="O160">
        <f>WEEKNUM(A160)</f>
        <v/>
      </c>
      <c r="P160">
        <f>INDEX({"Q1","Q1","Q1","Q2","Q2","Q2","Q3","Q3","Q3","Q4","Q4","Q4"},MONTH(A160))</f>
        <v/>
      </c>
    </row>
    <row r="161">
      <c r="A161" s="18" t="n"/>
      <c r="B161" s="15" t="n"/>
      <c r="K161">
        <f>TEXT(A161,"MMM-YY")</f>
        <v/>
      </c>
      <c r="L161">
        <f>HOUR(B161)</f>
        <v/>
      </c>
      <c r="M161">
        <f>IF(L161&lt;6,"Night",IF(L161&lt;12,"Morning",IF(L161&lt;18,"Afternoon","Evening")))</f>
        <v/>
      </c>
      <c r="N161">
        <f>TEXT(A161,"DDD")</f>
        <v/>
      </c>
      <c r="O161">
        <f>WEEKNUM(A161)</f>
        <v/>
      </c>
      <c r="P161">
        <f>INDEX({"Q1","Q1","Q1","Q2","Q2","Q2","Q3","Q3","Q3","Q4","Q4","Q4"},MONTH(A161))</f>
        <v/>
      </c>
    </row>
    <row r="162">
      <c r="A162" s="18" t="n"/>
      <c r="B162" s="15" t="n"/>
      <c r="K162">
        <f>TEXT(A162,"MMM-YY")</f>
        <v/>
      </c>
      <c r="L162">
        <f>HOUR(B162)</f>
        <v/>
      </c>
      <c r="M162">
        <f>IF(L162&lt;6,"Night",IF(L162&lt;12,"Morning",IF(L162&lt;18,"Afternoon","Evening")))</f>
        <v/>
      </c>
      <c r="N162">
        <f>TEXT(A162,"DDD")</f>
        <v/>
      </c>
      <c r="O162">
        <f>WEEKNUM(A162)</f>
        <v/>
      </c>
      <c r="P162">
        <f>INDEX({"Q1","Q1","Q1","Q2","Q2","Q2","Q3","Q3","Q3","Q4","Q4","Q4"},MONTH(A162))</f>
        <v/>
      </c>
    </row>
    <row r="163">
      <c r="A163" s="18" t="n"/>
      <c r="B163" s="15" t="n"/>
      <c r="K163">
        <f>TEXT(A163,"MMM-YY")</f>
        <v/>
      </c>
      <c r="L163">
        <f>HOUR(B163)</f>
        <v/>
      </c>
      <c r="M163">
        <f>IF(L163&lt;6,"Night",IF(L163&lt;12,"Morning",IF(L163&lt;18,"Afternoon","Evening")))</f>
        <v/>
      </c>
      <c r="N163">
        <f>TEXT(A163,"DDD")</f>
        <v/>
      </c>
      <c r="O163">
        <f>WEEKNUM(A163)</f>
        <v/>
      </c>
      <c r="P163">
        <f>INDEX({"Q1","Q1","Q1","Q2","Q2","Q2","Q3","Q3","Q3","Q4","Q4","Q4"},MONTH(A163))</f>
        <v/>
      </c>
    </row>
    <row r="164">
      <c r="A164" s="18" t="n"/>
      <c r="B164" s="15" t="n"/>
      <c r="K164">
        <f>TEXT(A164,"MMM-YY")</f>
        <v/>
      </c>
      <c r="L164">
        <f>HOUR(B164)</f>
        <v/>
      </c>
      <c r="M164">
        <f>IF(L164&lt;6,"Night",IF(L164&lt;12,"Morning",IF(L164&lt;18,"Afternoon","Evening")))</f>
        <v/>
      </c>
      <c r="N164">
        <f>TEXT(A164,"DDD")</f>
        <v/>
      </c>
      <c r="O164">
        <f>WEEKNUM(A164)</f>
        <v/>
      </c>
      <c r="P164">
        <f>INDEX({"Q1","Q1","Q1","Q2","Q2","Q2","Q3","Q3","Q3","Q4","Q4","Q4"},MONTH(A164))</f>
        <v/>
      </c>
    </row>
    <row r="165">
      <c r="A165" s="18" t="n"/>
      <c r="B165" s="15" t="n"/>
      <c r="K165">
        <f>TEXT(A165,"MMM-YY")</f>
        <v/>
      </c>
      <c r="L165">
        <f>HOUR(B165)</f>
        <v/>
      </c>
      <c r="M165">
        <f>IF(L165&lt;6,"Night",IF(L165&lt;12,"Morning",IF(L165&lt;18,"Afternoon","Evening")))</f>
        <v/>
      </c>
      <c r="N165">
        <f>TEXT(A165,"DDD")</f>
        <v/>
      </c>
      <c r="O165">
        <f>WEEKNUM(A165)</f>
        <v/>
      </c>
      <c r="P165">
        <f>INDEX({"Q1","Q1","Q1","Q2","Q2","Q2","Q3","Q3","Q3","Q4","Q4","Q4"},MONTH(A165))</f>
        <v/>
      </c>
    </row>
    <row r="166">
      <c r="A166" s="18" t="n"/>
      <c r="B166" s="15" t="n"/>
      <c r="K166">
        <f>TEXT(A166,"MMM-YY")</f>
        <v/>
      </c>
      <c r="L166">
        <f>HOUR(B166)</f>
        <v/>
      </c>
      <c r="M166">
        <f>IF(L166&lt;6,"Night",IF(L166&lt;12,"Morning",IF(L166&lt;18,"Afternoon","Evening")))</f>
        <v/>
      </c>
      <c r="N166">
        <f>TEXT(A166,"DDD")</f>
        <v/>
      </c>
      <c r="O166">
        <f>WEEKNUM(A166)</f>
        <v/>
      </c>
      <c r="P166">
        <f>INDEX({"Q1","Q1","Q1","Q2","Q2","Q2","Q3","Q3","Q3","Q4","Q4","Q4"},MONTH(A166))</f>
        <v/>
      </c>
    </row>
    <row r="167">
      <c r="A167" s="18" t="n"/>
      <c r="B167" s="15" t="n"/>
      <c r="K167">
        <f>TEXT(A167,"MMM-YY")</f>
        <v/>
      </c>
      <c r="L167">
        <f>HOUR(B167)</f>
        <v/>
      </c>
      <c r="M167">
        <f>IF(L167&lt;6,"Night",IF(L167&lt;12,"Morning",IF(L167&lt;18,"Afternoon","Evening")))</f>
        <v/>
      </c>
      <c r="N167">
        <f>TEXT(A167,"DDD")</f>
        <v/>
      </c>
      <c r="O167">
        <f>WEEKNUM(A167)</f>
        <v/>
      </c>
      <c r="P167">
        <f>INDEX({"Q1","Q1","Q1","Q2","Q2","Q2","Q3","Q3","Q3","Q4","Q4","Q4"},MONTH(A167))</f>
        <v/>
      </c>
    </row>
    <row r="168">
      <c r="A168" s="18" t="n"/>
      <c r="B168" s="15" t="n"/>
      <c r="K168">
        <f>TEXT(A168,"MMM-YY")</f>
        <v/>
      </c>
      <c r="L168">
        <f>HOUR(B168)</f>
        <v/>
      </c>
      <c r="M168">
        <f>IF(L168&lt;6,"Night",IF(L168&lt;12,"Morning",IF(L168&lt;18,"Afternoon","Evening")))</f>
        <v/>
      </c>
      <c r="N168">
        <f>TEXT(A168,"DDD")</f>
        <v/>
      </c>
      <c r="O168">
        <f>WEEKNUM(A168)</f>
        <v/>
      </c>
      <c r="P168">
        <f>INDEX({"Q1","Q1","Q1","Q2","Q2","Q2","Q3","Q3","Q3","Q4","Q4","Q4"},MONTH(A168))</f>
        <v/>
      </c>
    </row>
    <row r="169">
      <c r="A169" s="18" t="n"/>
      <c r="B169" s="15" t="n"/>
      <c r="K169">
        <f>TEXT(A169,"MMM-YY")</f>
        <v/>
      </c>
      <c r="L169">
        <f>HOUR(B169)</f>
        <v/>
      </c>
      <c r="M169">
        <f>IF(L169&lt;6,"Night",IF(L169&lt;12,"Morning",IF(L169&lt;18,"Afternoon","Evening")))</f>
        <v/>
      </c>
      <c r="N169">
        <f>TEXT(A169,"DDD")</f>
        <v/>
      </c>
      <c r="O169">
        <f>WEEKNUM(A169)</f>
        <v/>
      </c>
      <c r="P169">
        <f>INDEX({"Q1","Q1","Q1","Q2","Q2","Q2","Q3","Q3","Q3","Q4","Q4","Q4"},MONTH(A169))</f>
        <v/>
      </c>
    </row>
    <row r="170">
      <c r="A170" s="18" t="n"/>
      <c r="B170" s="15" t="n"/>
      <c r="K170">
        <f>TEXT(A170,"MMM-YY")</f>
        <v/>
      </c>
      <c r="L170">
        <f>HOUR(B170)</f>
        <v/>
      </c>
      <c r="M170">
        <f>IF(L170&lt;6,"Night",IF(L170&lt;12,"Morning",IF(L170&lt;18,"Afternoon","Evening")))</f>
        <v/>
      </c>
      <c r="N170">
        <f>TEXT(A170,"DDD")</f>
        <v/>
      </c>
      <c r="O170">
        <f>WEEKNUM(A170)</f>
        <v/>
      </c>
      <c r="P170">
        <f>INDEX({"Q1","Q1","Q1","Q2","Q2","Q2","Q3","Q3","Q3","Q4","Q4","Q4"},MONTH(A170))</f>
        <v/>
      </c>
    </row>
    <row r="171">
      <c r="A171" s="18" t="n"/>
      <c r="B171" s="15" t="n"/>
      <c r="K171">
        <f>TEXT(A171,"MMM-YY")</f>
        <v/>
      </c>
      <c r="L171">
        <f>HOUR(B171)</f>
        <v/>
      </c>
      <c r="M171">
        <f>IF(L171&lt;6,"Night",IF(L171&lt;12,"Morning",IF(L171&lt;18,"Afternoon","Evening")))</f>
        <v/>
      </c>
      <c r="N171">
        <f>TEXT(A171,"DDD")</f>
        <v/>
      </c>
      <c r="O171">
        <f>WEEKNUM(A171)</f>
        <v/>
      </c>
      <c r="P171">
        <f>INDEX({"Q1","Q1","Q1","Q2","Q2","Q2","Q3","Q3","Q3","Q4","Q4","Q4"},MONTH(A171))</f>
        <v/>
      </c>
    </row>
    <row r="172">
      <c r="A172" s="18" t="n"/>
      <c r="B172" s="15" t="n"/>
      <c r="K172">
        <f>TEXT(A172,"MMM-YY")</f>
        <v/>
      </c>
      <c r="L172">
        <f>HOUR(B172)</f>
        <v/>
      </c>
      <c r="M172">
        <f>IF(L172&lt;6,"Night",IF(L172&lt;12,"Morning",IF(L172&lt;18,"Afternoon","Evening")))</f>
        <v/>
      </c>
      <c r="N172">
        <f>TEXT(A172,"DDD")</f>
        <v/>
      </c>
      <c r="O172">
        <f>WEEKNUM(A172)</f>
        <v/>
      </c>
      <c r="P172">
        <f>INDEX({"Q1","Q1","Q1","Q2","Q2","Q2","Q3","Q3","Q3","Q4","Q4","Q4"},MONTH(A172))</f>
        <v/>
      </c>
    </row>
    <row r="173">
      <c r="A173" s="18" t="n"/>
      <c r="B173" s="15" t="n"/>
      <c r="K173">
        <f>TEXT(A173,"MMM-YY")</f>
        <v/>
      </c>
      <c r="L173">
        <f>HOUR(B173)</f>
        <v/>
      </c>
      <c r="M173">
        <f>IF(L173&lt;6,"Night",IF(L173&lt;12,"Morning",IF(L173&lt;18,"Afternoon","Evening")))</f>
        <v/>
      </c>
      <c r="N173">
        <f>TEXT(A173,"DDD")</f>
        <v/>
      </c>
      <c r="O173">
        <f>WEEKNUM(A173)</f>
        <v/>
      </c>
      <c r="P173">
        <f>INDEX({"Q1","Q1","Q1","Q2","Q2","Q2","Q3","Q3","Q3","Q4","Q4","Q4"},MONTH(A173))</f>
        <v/>
      </c>
    </row>
    <row r="174">
      <c r="A174" s="18" t="n"/>
      <c r="B174" s="15" t="n"/>
      <c r="K174">
        <f>TEXT(A174,"MMM-YY")</f>
        <v/>
      </c>
      <c r="L174">
        <f>HOUR(B174)</f>
        <v/>
      </c>
      <c r="M174">
        <f>IF(L174&lt;6,"Night",IF(L174&lt;12,"Morning",IF(L174&lt;18,"Afternoon","Evening")))</f>
        <v/>
      </c>
      <c r="N174">
        <f>TEXT(A174,"DDD")</f>
        <v/>
      </c>
      <c r="O174">
        <f>WEEKNUM(A174)</f>
        <v/>
      </c>
      <c r="P174">
        <f>INDEX({"Q1","Q1","Q1","Q2","Q2","Q2","Q3","Q3","Q3","Q4","Q4","Q4"},MONTH(A174))</f>
        <v/>
      </c>
    </row>
    <row r="175">
      <c r="A175" s="18" t="n"/>
      <c r="B175" s="15" t="n"/>
      <c r="K175">
        <f>TEXT(A175,"MMM-YY")</f>
        <v/>
      </c>
      <c r="L175">
        <f>HOUR(B175)</f>
        <v/>
      </c>
      <c r="M175">
        <f>IF(L175&lt;6,"Night",IF(L175&lt;12,"Morning",IF(L175&lt;18,"Afternoon","Evening")))</f>
        <v/>
      </c>
      <c r="N175">
        <f>TEXT(A175,"DDD")</f>
        <v/>
      </c>
      <c r="O175">
        <f>WEEKNUM(A175)</f>
        <v/>
      </c>
      <c r="P175">
        <f>INDEX({"Q1","Q1","Q1","Q2","Q2","Q2","Q3","Q3","Q3","Q4","Q4","Q4"},MONTH(A175))</f>
        <v/>
      </c>
    </row>
    <row r="176">
      <c r="A176" s="18" t="n"/>
      <c r="B176" s="15" t="n"/>
      <c r="K176">
        <f>TEXT(A176,"MMM-YY")</f>
        <v/>
      </c>
      <c r="L176">
        <f>HOUR(B176)</f>
        <v/>
      </c>
      <c r="M176">
        <f>IF(L176&lt;6,"Night",IF(L176&lt;12,"Morning",IF(L176&lt;18,"Afternoon","Evening")))</f>
        <v/>
      </c>
      <c r="N176">
        <f>TEXT(A176,"DDD")</f>
        <v/>
      </c>
      <c r="O176">
        <f>WEEKNUM(A176)</f>
        <v/>
      </c>
      <c r="P176">
        <f>INDEX({"Q1","Q1","Q1","Q2","Q2","Q2","Q3","Q3","Q3","Q4","Q4","Q4"},MONTH(A176))</f>
        <v/>
      </c>
    </row>
    <row r="177">
      <c r="A177" s="18" t="n"/>
      <c r="B177" s="15" t="n"/>
      <c r="K177">
        <f>TEXT(A177,"MMM-YY")</f>
        <v/>
      </c>
      <c r="L177">
        <f>HOUR(B177)</f>
        <v/>
      </c>
      <c r="M177">
        <f>IF(L177&lt;6,"Night",IF(L177&lt;12,"Morning",IF(L177&lt;18,"Afternoon","Evening")))</f>
        <v/>
      </c>
      <c r="N177">
        <f>TEXT(A177,"DDD")</f>
        <v/>
      </c>
      <c r="O177">
        <f>WEEKNUM(A177)</f>
        <v/>
      </c>
      <c r="P177">
        <f>INDEX({"Q1","Q1","Q1","Q2","Q2","Q2","Q3","Q3","Q3","Q4","Q4","Q4"},MONTH(A177))</f>
        <v/>
      </c>
    </row>
    <row r="178">
      <c r="A178" s="18" t="n"/>
      <c r="B178" s="15" t="n"/>
      <c r="K178">
        <f>TEXT(A178,"MMM-YY")</f>
        <v/>
      </c>
      <c r="L178">
        <f>HOUR(B178)</f>
        <v/>
      </c>
      <c r="M178">
        <f>IF(L178&lt;6,"Night",IF(L178&lt;12,"Morning",IF(L178&lt;18,"Afternoon","Evening")))</f>
        <v/>
      </c>
      <c r="N178">
        <f>TEXT(A178,"DDD")</f>
        <v/>
      </c>
      <c r="O178">
        <f>WEEKNUM(A178)</f>
        <v/>
      </c>
      <c r="P178">
        <f>INDEX({"Q1","Q1","Q1","Q2","Q2","Q2","Q3","Q3","Q3","Q4","Q4","Q4"},MONTH(A178))</f>
        <v/>
      </c>
    </row>
    <row r="179">
      <c r="A179" s="18" t="n"/>
      <c r="B179" s="15" t="n"/>
      <c r="K179">
        <f>TEXT(A179,"MMM-YY")</f>
        <v/>
      </c>
      <c r="L179">
        <f>HOUR(B179)</f>
        <v/>
      </c>
      <c r="M179">
        <f>IF(L179&lt;6,"Night",IF(L179&lt;12,"Morning",IF(L179&lt;18,"Afternoon","Evening")))</f>
        <v/>
      </c>
      <c r="N179">
        <f>TEXT(A179,"DDD")</f>
        <v/>
      </c>
      <c r="O179">
        <f>WEEKNUM(A179)</f>
        <v/>
      </c>
      <c r="P179">
        <f>INDEX({"Q1","Q1","Q1","Q2","Q2","Q2","Q3","Q3","Q3","Q4","Q4","Q4"},MONTH(A179))</f>
        <v/>
      </c>
    </row>
    <row r="180">
      <c r="A180" s="18" t="n"/>
      <c r="B180" s="15" t="n"/>
      <c r="K180">
        <f>TEXT(A180,"MMM-YY")</f>
        <v/>
      </c>
      <c r="L180">
        <f>HOUR(B180)</f>
        <v/>
      </c>
      <c r="M180">
        <f>IF(L180&lt;6,"Night",IF(L180&lt;12,"Morning",IF(L180&lt;18,"Afternoon","Evening")))</f>
        <v/>
      </c>
      <c r="N180">
        <f>TEXT(A180,"DDD")</f>
        <v/>
      </c>
      <c r="O180">
        <f>WEEKNUM(A180)</f>
        <v/>
      </c>
      <c r="P180">
        <f>INDEX({"Q1","Q1","Q1","Q2","Q2","Q2","Q3","Q3","Q3","Q4","Q4","Q4"},MONTH(A180))</f>
        <v/>
      </c>
    </row>
    <row r="181">
      <c r="A181" s="18" t="n"/>
      <c r="B181" s="15" t="n"/>
      <c r="K181">
        <f>TEXT(A181,"MMM-YY")</f>
        <v/>
      </c>
      <c r="L181">
        <f>HOUR(B181)</f>
        <v/>
      </c>
      <c r="M181">
        <f>IF(L181&lt;6,"Night",IF(L181&lt;12,"Morning",IF(L181&lt;18,"Afternoon","Evening")))</f>
        <v/>
      </c>
      <c r="N181">
        <f>TEXT(A181,"DDD")</f>
        <v/>
      </c>
      <c r="O181">
        <f>WEEKNUM(A181)</f>
        <v/>
      </c>
      <c r="P181">
        <f>INDEX({"Q1","Q1","Q1","Q2","Q2","Q2","Q3","Q3","Q3","Q4","Q4","Q4"},MONTH(A181))</f>
        <v/>
      </c>
    </row>
    <row r="182">
      <c r="A182" s="18" t="n"/>
      <c r="B182" s="15" t="n"/>
      <c r="K182">
        <f>TEXT(A182,"MMM-YY")</f>
        <v/>
      </c>
      <c r="L182">
        <f>HOUR(B182)</f>
        <v/>
      </c>
      <c r="M182">
        <f>IF(L182&lt;6,"Night",IF(L182&lt;12,"Morning",IF(L182&lt;18,"Afternoon","Evening")))</f>
        <v/>
      </c>
      <c r="N182">
        <f>TEXT(A182,"DDD")</f>
        <v/>
      </c>
      <c r="O182">
        <f>WEEKNUM(A182)</f>
        <v/>
      </c>
      <c r="P182">
        <f>INDEX({"Q1","Q1","Q1","Q2","Q2","Q2","Q3","Q3","Q3","Q4","Q4","Q4"},MONTH(A182))</f>
        <v/>
      </c>
    </row>
    <row r="183">
      <c r="A183" s="18" t="n"/>
      <c r="B183" s="15" t="n"/>
      <c r="K183">
        <f>TEXT(A183,"MMM-YY")</f>
        <v/>
      </c>
      <c r="L183">
        <f>HOUR(B183)</f>
        <v/>
      </c>
      <c r="M183">
        <f>IF(L183&lt;6,"Night",IF(L183&lt;12,"Morning",IF(L183&lt;18,"Afternoon","Evening")))</f>
        <v/>
      </c>
      <c r="N183">
        <f>TEXT(A183,"DDD")</f>
        <v/>
      </c>
      <c r="O183">
        <f>WEEKNUM(A183)</f>
        <v/>
      </c>
      <c r="P183">
        <f>INDEX({"Q1","Q1","Q1","Q2","Q2","Q2","Q3","Q3","Q3","Q4","Q4","Q4"},MONTH(A183))</f>
        <v/>
      </c>
    </row>
    <row r="184">
      <c r="A184" s="18" t="n"/>
      <c r="B184" s="15" t="n"/>
      <c r="K184">
        <f>TEXT(A184,"MMM-YY")</f>
        <v/>
      </c>
      <c r="L184">
        <f>HOUR(B184)</f>
        <v/>
      </c>
      <c r="M184">
        <f>IF(L184&lt;6,"Night",IF(L184&lt;12,"Morning",IF(L184&lt;18,"Afternoon","Evening")))</f>
        <v/>
      </c>
      <c r="N184">
        <f>TEXT(A184,"DDD")</f>
        <v/>
      </c>
      <c r="O184">
        <f>WEEKNUM(A184)</f>
        <v/>
      </c>
      <c r="P184">
        <f>INDEX({"Q1","Q1","Q1","Q2","Q2","Q2","Q3","Q3","Q3","Q4","Q4","Q4"},MONTH(A184))</f>
        <v/>
      </c>
    </row>
    <row r="185">
      <c r="A185" s="18" t="n"/>
      <c r="B185" s="15" t="n"/>
      <c r="K185">
        <f>TEXT(A185,"MMM-YY")</f>
        <v/>
      </c>
      <c r="L185">
        <f>HOUR(B185)</f>
        <v/>
      </c>
      <c r="M185">
        <f>IF(L185&lt;6,"Night",IF(L185&lt;12,"Morning",IF(L185&lt;18,"Afternoon","Evening")))</f>
        <v/>
      </c>
      <c r="N185">
        <f>TEXT(A185,"DDD")</f>
        <v/>
      </c>
      <c r="O185">
        <f>WEEKNUM(A185)</f>
        <v/>
      </c>
      <c r="P185">
        <f>INDEX({"Q1","Q1","Q1","Q2","Q2","Q2","Q3","Q3","Q3","Q4","Q4","Q4"},MONTH(A185))</f>
        <v/>
      </c>
    </row>
    <row r="186">
      <c r="A186" s="18" t="n"/>
      <c r="B186" s="15" t="n"/>
      <c r="K186">
        <f>TEXT(A186,"MMM-YY")</f>
        <v/>
      </c>
      <c r="L186">
        <f>HOUR(B186)</f>
        <v/>
      </c>
      <c r="M186">
        <f>IF(L186&lt;6,"Night",IF(L186&lt;12,"Morning",IF(L186&lt;18,"Afternoon","Evening")))</f>
        <v/>
      </c>
      <c r="N186">
        <f>TEXT(A186,"DDD")</f>
        <v/>
      </c>
      <c r="O186">
        <f>WEEKNUM(A186)</f>
        <v/>
      </c>
      <c r="P186">
        <f>INDEX({"Q1","Q1","Q1","Q2","Q2","Q2","Q3","Q3","Q3","Q4","Q4","Q4"},MONTH(A186))</f>
        <v/>
      </c>
    </row>
    <row r="187">
      <c r="A187" s="18" t="n"/>
      <c r="B187" s="15" t="n"/>
      <c r="K187">
        <f>TEXT(A187,"MMM-YY")</f>
        <v/>
      </c>
      <c r="L187">
        <f>HOUR(B187)</f>
        <v/>
      </c>
      <c r="M187">
        <f>IF(L187&lt;6,"Night",IF(L187&lt;12,"Morning",IF(L187&lt;18,"Afternoon","Evening")))</f>
        <v/>
      </c>
      <c r="N187">
        <f>TEXT(A187,"DDD")</f>
        <v/>
      </c>
      <c r="O187">
        <f>WEEKNUM(A187)</f>
        <v/>
      </c>
      <c r="P187">
        <f>INDEX({"Q1","Q1","Q1","Q2","Q2","Q2","Q3","Q3","Q3","Q4","Q4","Q4"},MONTH(A187))</f>
        <v/>
      </c>
    </row>
    <row r="188">
      <c r="A188" s="18" t="n"/>
      <c r="B188" s="15" t="n"/>
      <c r="K188">
        <f>TEXT(A188,"MMM-YY")</f>
        <v/>
      </c>
      <c r="L188">
        <f>HOUR(B188)</f>
        <v/>
      </c>
      <c r="M188">
        <f>IF(L188&lt;6,"Night",IF(L188&lt;12,"Morning",IF(L188&lt;18,"Afternoon","Evening")))</f>
        <v/>
      </c>
      <c r="N188">
        <f>TEXT(A188,"DDD")</f>
        <v/>
      </c>
      <c r="O188">
        <f>WEEKNUM(A188)</f>
        <v/>
      </c>
      <c r="P188">
        <f>INDEX({"Q1","Q1","Q1","Q2","Q2","Q2","Q3","Q3","Q3","Q4","Q4","Q4"},MONTH(A188))</f>
        <v/>
      </c>
    </row>
    <row r="189">
      <c r="A189" s="18" t="n"/>
      <c r="B189" s="15" t="n"/>
      <c r="K189">
        <f>TEXT(A189,"MMM-YY")</f>
        <v/>
      </c>
      <c r="L189">
        <f>HOUR(B189)</f>
        <v/>
      </c>
      <c r="M189">
        <f>IF(L189&lt;6,"Night",IF(L189&lt;12,"Morning",IF(L189&lt;18,"Afternoon","Evening")))</f>
        <v/>
      </c>
      <c r="N189">
        <f>TEXT(A189,"DDD")</f>
        <v/>
      </c>
      <c r="O189">
        <f>WEEKNUM(A189)</f>
        <v/>
      </c>
      <c r="P189">
        <f>INDEX({"Q1","Q1","Q1","Q2","Q2","Q2","Q3","Q3","Q3","Q4","Q4","Q4"},MONTH(A189))</f>
        <v/>
      </c>
    </row>
    <row r="190">
      <c r="A190" s="18" t="n"/>
      <c r="B190" s="15" t="n"/>
      <c r="K190">
        <f>TEXT(A190,"MMM-YY")</f>
        <v/>
      </c>
      <c r="L190">
        <f>HOUR(B190)</f>
        <v/>
      </c>
      <c r="M190">
        <f>IF(L190&lt;6,"Night",IF(L190&lt;12,"Morning",IF(L190&lt;18,"Afternoon","Evening")))</f>
        <v/>
      </c>
      <c r="N190">
        <f>TEXT(A190,"DDD")</f>
        <v/>
      </c>
      <c r="O190">
        <f>WEEKNUM(A190)</f>
        <v/>
      </c>
      <c r="P190">
        <f>INDEX({"Q1","Q1","Q1","Q2","Q2","Q2","Q3","Q3","Q3","Q4","Q4","Q4"},MONTH(A190))</f>
        <v/>
      </c>
    </row>
    <row r="191">
      <c r="A191" s="18" t="n"/>
      <c r="B191" s="15" t="n"/>
      <c r="K191">
        <f>TEXT(A191,"MMM-YY")</f>
        <v/>
      </c>
      <c r="L191">
        <f>HOUR(B191)</f>
        <v/>
      </c>
      <c r="M191">
        <f>IF(L191&lt;6,"Night",IF(L191&lt;12,"Morning",IF(L191&lt;18,"Afternoon","Evening")))</f>
        <v/>
      </c>
      <c r="N191">
        <f>TEXT(A191,"DDD")</f>
        <v/>
      </c>
      <c r="O191">
        <f>WEEKNUM(A191)</f>
        <v/>
      </c>
      <c r="P191">
        <f>INDEX({"Q1","Q1","Q1","Q2","Q2","Q2","Q3","Q3","Q3","Q4","Q4","Q4"},MONTH(A191))</f>
        <v/>
      </c>
    </row>
    <row r="192">
      <c r="A192" s="18" t="n"/>
      <c r="B192" s="15" t="n"/>
      <c r="K192">
        <f>TEXT(A192,"MMM-YY")</f>
        <v/>
      </c>
      <c r="L192">
        <f>HOUR(B192)</f>
        <v/>
      </c>
      <c r="M192">
        <f>IF(L192&lt;6,"Night",IF(L192&lt;12,"Morning",IF(L192&lt;18,"Afternoon","Evening")))</f>
        <v/>
      </c>
      <c r="N192">
        <f>TEXT(A192,"DDD")</f>
        <v/>
      </c>
      <c r="O192">
        <f>WEEKNUM(A192)</f>
        <v/>
      </c>
      <c r="P192">
        <f>INDEX({"Q1","Q1","Q1","Q2","Q2","Q2","Q3","Q3","Q3","Q4","Q4","Q4"},MONTH(A192))</f>
        <v/>
      </c>
    </row>
    <row r="193">
      <c r="A193" s="18" t="n"/>
      <c r="B193" s="15" t="n"/>
      <c r="K193">
        <f>TEXT(A193,"MMM-YY")</f>
        <v/>
      </c>
      <c r="L193">
        <f>HOUR(B193)</f>
        <v/>
      </c>
      <c r="M193">
        <f>IF(L193&lt;6,"Night",IF(L193&lt;12,"Morning",IF(L193&lt;18,"Afternoon","Evening")))</f>
        <v/>
      </c>
      <c r="N193">
        <f>TEXT(A193,"DDD")</f>
        <v/>
      </c>
      <c r="O193">
        <f>WEEKNUM(A193)</f>
        <v/>
      </c>
      <c r="P193">
        <f>INDEX({"Q1","Q1","Q1","Q2","Q2","Q2","Q3","Q3","Q3","Q4","Q4","Q4"},MONTH(A193))</f>
        <v/>
      </c>
    </row>
    <row r="194">
      <c r="A194" s="18" t="n"/>
      <c r="B194" s="15" t="n"/>
      <c r="K194">
        <f>TEXT(A194,"MMM-YY")</f>
        <v/>
      </c>
      <c r="L194">
        <f>HOUR(B194)</f>
        <v/>
      </c>
      <c r="M194">
        <f>IF(L194&lt;6,"Night",IF(L194&lt;12,"Morning",IF(L194&lt;18,"Afternoon","Evening")))</f>
        <v/>
      </c>
      <c r="N194">
        <f>TEXT(A194,"DDD")</f>
        <v/>
      </c>
      <c r="O194">
        <f>WEEKNUM(A194)</f>
        <v/>
      </c>
      <c r="P194">
        <f>INDEX({"Q1","Q1","Q1","Q2","Q2","Q2","Q3","Q3","Q3","Q4","Q4","Q4"},MONTH(A194))</f>
        <v/>
      </c>
    </row>
    <row r="195">
      <c r="A195" s="18" t="n"/>
      <c r="B195" s="15" t="n"/>
      <c r="K195">
        <f>TEXT(A195,"MMM-YY")</f>
        <v/>
      </c>
      <c r="L195">
        <f>HOUR(B195)</f>
        <v/>
      </c>
      <c r="M195">
        <f>IF(L195&lt;6,"Night",IF(L195&lt;12,"Morning",IF(L195&lt;18,"Afternoon","Evening")))</f>
        <v/>
      </c>
      <c r="N195">
        <f>TEXT(A195,"DDD")</f>
        <v/>
      </c>
      <c r="O195">
        <f>WEEKNUM(A195)</f>
        <v/>
      </c>
      <c r="P195">
        <f>INDEX({"Q1","Q1","Q1","Q2","Q2","Q2","Q3","Q3","Q3","Q4","Q4","Q4"},MONTH(A195))</f>
        <v/>
      </c>
    </row>
    <row r="196">
      <c r="A196" s="18" t="n"/>
      <c r="B196" s="15" t="n"/>
      <c r="K196">
        <f>TEXT(A196,"MMM-YY")</f>
        <v/>
      </c>
      <c r="L196">
        <f>HOUR(B196)</f>
        <v/>
      </c>
      <c r="M196">
        <f>IF(L196&lt;6,"Night",IF(L196&lt;12,"Morning",IF(L196&lt;18,"Afternoon","Evening")))</f>
        <v/>
      </c>
      <c r="N196">
        <f>TEXT(A196,"DDD")</f>
        <v/>
      </c>
      <c r="O196">
        <f>WEEKNUM(A196)</f>
        <v/>
      </c>
      <c r="P196">
        <f>INDEX({"Q1","Q1","Q1","Q2","Q2","Q2","Q3","Q3","Q3","Q4","Q4","Q4"},MONTH(A196))</f>
        <v/>
      </c>
    </row>
    <row r="197">
      <c r="A197" s="18" t="n"/>
      <c r="B197" s="15" t="n"/>
      <c r="K197">
        <f>TEXT(A197,"MMM-YY")</f>
        <v/>
      </c>
      <c r="L197">
        <f>HOUR(B197)</f>
        <v/>
      </c>
      <c r="M197">
        <f>IF(L197&lt;6,"Night",IF(L197&lt;12,"Morning",IF(L197&lt;18,"Afternoon","Evening")))</f>
        <v/>
      </c>
      <c r="N197">
        <f>TEXT(A197,"DDD")</f>
        <v/>
      </c>
      <c r="O197">
        <f>WEEKNUM(A197)</f>
        <v/>
      </c>
      <c r="P197">
        <f>INDEX({"Q1","Q1","Q1","Q2","Q2","Q2","Q3","Q3","Q3","Q4","Q4","Q4"},MONTH(A197))</f>
        <v/>
      </c>
    </row>
    <row r="198">
      <c r="A198" s="18" t="n"/>
      <c r="B198" s="15" t="n"/>
      <c r="K198">
        <f>TEXT(A198,"MMM-YY")</f>
        <v/>
      </c>
      <c r="L198">
        <f>HOUR(B198)</f>
        <v/>
      </c>
      <c r="M198">
        <f>IF(L198&lt;6,"Night",IF(L198&lt;12,"Morning",IF(L198&lt;18,"Afternoon","Evening")))</f>
        <v/>
      </c>
      <c r="N198">
        <f>TEXT(A198,"DDD")</f>
        <v/>
      </c>
      <c r="O198">
        <f>WEEKNUM(A198)</f>
        <v/>
      </c>
      <c r="P198">
        <f>INDEX({"Q1","Q1","Q1","Q2","Q2","Q2","Q3","Q3","Q3","Q4","Q4","Q4"},MONTH(A198))</f>
        <v/>
      </c>
    </row>
    <row r="199">
      <c r="A199" s="18" t="n"/>
      <c r="B199" s="15" t="n"/>
      <c r="K199">
        <f>TEXT(A199,"MMM-YY")</f>
        <v/>
      </c>
      <c r="L199">
        <f>HOUR(B199)</f>
        <v/>
      </c>
      <c r="M199">
        <f>IF(L199&lt;6,"Night",IF(L199&lt;12,"Morning",IF(L199&lt;18,"Afternoon","Evening")))</f>
        <v/>
      </c>
      <c r="N199">
        <f>TEXT(A199,"DDD")</f>
        <v/>
      </c>
      <c r="O199">
        <f>WEEKNUM(A199)</f>
        <v/>
      </c>
      <c r="P199">
        <f>INDEX({"Q1","Q1","Q1","Q2","Q2","Q2","Q3","Q3","Q3","Q4","Q4","Q4"},MONTH(A199))</f>
        <v/>
      </c>
    </row>
    <row r="200">
      <c r="A200" s="18" t="n"/>
      <c r="B200" s="15" t="n"/>
      <c r="K200">
        <f>TEXT(A200,"MMM-YY")</f>
        <v/>
      </c>
      <c r="L200">
        <f>HOUR(B200)</f>
        <v/>
      </c>
      <c r="M200">
        <f>IF(L200&lt;6,"Night",IF(L200&lt;12,"Morning",IF(L200&lt;18,"Afternoon","Evening")))</f>
        <v/>
      </c>
      <c r="N200">
        <f>TEXT(A200,"DDD")</f>
        <v/>
      </c>
      <c r="O200">
        <f>WEEKNUM(A200)</f>
        <v/>
      </c>
      <c r="P200">
        <f>INDEX({"Q1","Q1","Q1","Q2","Q2","Q2","Q3","Q3","Q3","Q4","Q4","Q4"},MONTH(A200))</f>
        <v/>
      </c>
    </row>
    <row r="201">
      <c r="A201" s="18" t="n"/>
      <c r="B201" s="15" t="n"/>
      <c r="K201">
        <f>TEXT(A201,"MMM-YY")</f>
        <v/>
      </c>
      <c r="L201">
        <f>HOUR(B201)</f>
        <v/>
      </c>
      <c r="M201">
        <f>IF(L201&lt;6,"Night",IF(L201&lt;12,"Morning",IF(L201&lt;18,"Afternoon","Evening")))</f>
        <v/>
      </c>
      <c r="N201">
        <f>TEXT(A201,"DDD")</f>
        <v/>
      </c>
      <c r="O201">
        <f>WEEKNUM(A201)</f>
        <v/>
      </c>
      <c r="P201">
        <f>INDEX({"Q1","Q1","Q1","Q2","Q2","Q2","Q3","Q3","Q3","Q4","Q4","Q4"},MONTH(A201))</f>
        <v/>
      </c>
    </row>
    <row r="202">
      <c r="A202" s="18" t="n"/>
      <c r="B202" s="15" t="n"/>
      <c r="K202">
        <f>TEXT(A202,"MMM-YY")</f>
        <v/>
      </c>
      <c r="L202">
        <f>HOUR(B202)</f>
        <v/>
      </c>
      <c r="M202">
        <f>IF(L202&lt;6,"Night",IF(L202&lt;12,"Morning",IF(L202&lt;18,"Afternoon","Evening")))</f>
        <v/>
      </c>
      <c r="N202">
        <f>TEXT(A202,"DDD")</f>
        <v/>
      </c>
      <c r="O202">
        <f>WEEKNUM(A202)</f>
        <v/>
      </c>
      <c r="P202">
        <f>INDEX({"Q1","Q1","Q1","Q2","Q2","Q2","Q3","Q3","Q3","Q4","Q4","Q4"},MONTH(A202))</f>
        <v/>
      </c>
    </row>
    <row r="203">
      <c r="A203" s="18" t="n"/>
      <c r="B203" s="15" t="n"/>
      <c r="K203">
        <f>TEXT(A203,"MMM-YY")</f>
        <v/>
      </c>
      <c r="L203">
        <f>HOUR(B203)</f>
        <v/>
      </c>
      <c r="M203">
        <f>IF(L203&lt;6,"Night",IF(L203&lt;12,"Morning",IF(L203&lt;18,"Afternoon","Evening")))</f>
        <v/>
      </c>
      <c r="N203">
        <f>TEXT(A203,"DDD")</f>
        <v/>
      </c>
      <c r="O203">
        <f>WEEKNUM(A203)</f>
        <v/>
      </c>
      <c r="P203">
        <f>INDEX({"Q1","Q1","Q1","Q2","Q2","Q2","Q3","Q3","Q3","Q4","Q4","Q4"},MONTH(A203))</f>
        <v/>
      </c>
    </row>
    <row r="204">
      <c r="A204" s="18" t="n"/>
      <c r="B204" s="15" t="n"/>
      <c r="K204">
        <f>TEXT(A204,"MMM-YY")</f>
        <v/>
      </c>
      <c r="L204">
        <f>HOUR(B204)</f>
        <v/>
      </c>
      <c r="M204">
        <f>IF(L204&lt;6,"Night",IF(L204&lt;12,"Morning",IF(L204&lt;18,"Afternoon","Evening")))</f>
        <v/>
      </c>
      <c r="N204">
        <f>TEXT(A204,"DDD")</f>
        <v/>
      </c>
      <c r="O204">
        <f>WEEKNUM(A204)</f>
        <v/>
      </c>
      <c r="P204">
        <f>INDEX({"Q1","Q1","Q1","Q2","Q2","Q2","Q3","Q3","Q3","Q4","Q4","Q4"},MONTH(A204))</f>
        <v/>
      </c>
    </row>
    <row r="205">
      <c r="A205" s="18" t="n"/>
      <c r="B205" s="15" t="n"/>
      <c r="K205">
        <f>TEXT(A205,"MMM-YY")</f>
        <v/>
      </c>
      <c r="L205">
        <f>HOUR(B205)</f>
        <v/>
      </c>
      <c r="M205">
        <f>IF(L205&lt;6,"Night",IF(L205&lt;12,"Morning",IF(L205&lt;18,"Afternoon","Evening")))</f>
        <v/>
      </c>
      <c r="N205">
        <f>TEXT(A205,"DDD")</f>
        <v/>
      </c>
      <c r="O205">
        <f>WEEKNUM(A205)</f>
        <v/>
      </c>
      <c r="P205">
        <f>INDEX({"Q1","Q1","Q1","Q2","Q2","Q2","Q3","Q3","Q3","Q4","Q4","Q4"},MONTH(A205))</f>
        <v/>
      </c>
    </row>
    <row r="206">
      <c r="A206" s="18" t="n"/>
      <c r="B206" s="15" t="n"/>
      <c r="K206">
        <f>TEXT(A206,"MMM-YY")</f>
        <v/>
      </c>
      <c r="L206">
        <f>HOUR(B206)</f>
        <v/>
      </c>
      <c r="M206">
        <f>IF(L206&lt;6,"Night",IF(L206&lt;12,"Morning",IF(L206&lt;18,"Afternoon","Evening")))</f>
        <v/>
      </c>
      <c r="N206">
        <f>TEXT(A206,"DDD")</f>
        <v/>
      </c>
      <c r="O206">
        <f>WEEKNUM(A206)</f>
        <v/>
      </c>
      <c r="P206">
        <f>INDEX({"Q1","Q1","Q1","Q2","Q2","Q2","Q3","Q3","Q3","Q4","Q4","Q4"},MONTH(A206))</f>
        <v/>
      </c>
    </row>
    <row r="207">
      <c r="A207" s="18" t="n"/>
      <c r="B207" s="15" t="n"/>
      <c r="K207">
        <f>TEXT(A207,"MMM-YY")</f>
        <v/>
      </c>
      <c r="L207">
        <f>HOUR(B207)</f>
        <v/>
      </c>
      <c r="M207">
        <f>IF(L207&lt;6,"Night",IF(L207&lt;12,"Morning",IF(L207&lt;18,"Afternoon","Evening")))</f>
        <v/>
      </c>
      <c r="N207">
        <f>TEXT(A207,"DDD")</f>
        <v/>
      </c>
      <c r="O207">
        <f>WEEKNUM(A207)</f>
        <v/>
      </c>
      <c r="P207">
        <f>INDEX({"Q1","Q1","Q1","Q2","Q2","Q2","Q3","Q3","Q3","Q4","Q4","Q4"},MONTH(A207))</f>
        <v/>
      </c>
    </row>
    <row r="208">
      <c r="A208" s="18" t="n"/>
      <c r="B208" s="15" t="n"/>
      <c r="K208">
        <f>TEXT(A208,"MMM-YY")</f>
        <v/>
      </c>
      <c r="L208">
        <f>HOUR(B208)</f>
        <v/>
      </c>
      <c r="M208">
        <f>IF(L208&lt;6,"Night",IF(L208&lt;12,"Morning",IF(L208&lt;18,"Afternoon","Evening")))</f>
        <v/>
      </c>
      <c r="N208">
        <f>TEXT(A208,"DDD")</f>
        <v/>
      </c>
      <c r="O208">
        <f>WEEKNUM(A208)</f>
        <v/>
      </c>
      <c r="P208">
        <f>INDEX({"Q1","Q1","Q1","Q2","Q2","Q2","Q3","Q3","Q3","Q4","Q4","Q4"},MONTH(A208))</f>
        <v/>
      </c>
    </row>
    <row r="209">
      <c r="A209" s="18" t="n"/>
      <c r="B209" s="15" t="n"/>
      <c r="K209">
        <f>TEXT(A209,"MMM-YY")</f>
        <v/>
      </c>
      <c r="L209">
        <f>HOUR(B209)</f>
        <v/>
      </c>
      <c r="M209">
        <f>IF(L209&lt;6,"Night",IF(L209&lt;12,"Morning",IF(L209&lt;18,"Afternoon","Evening")))</f>
        <v/>
      </c>
      <c r="N209">
        <f>TEXT(A209,"DDD")</f>
        <v/>
      </c>
      <c r="O209">
        <f>WEEKNUM(A209)</f>
        <v/>
      </c>
      <c r="P209">
        <f>INDEX({"Q1","Q1","Q1","Q2","Q2","Q2","Q3","Q3","Q3","Q4","Q4","Q4"},MONTH(A209))</f>
        <v/>
      </c>
    </row>
    <row r="210">
      <c r="A210" s="18" t="n"/>
      <c r="B210" s="15" t="n"/>
      <c r="K210">
        <f>TEXT(A210,"MMM-YY")</f>
        <v/>
      </c>
      <c r="L210">
        <f>HOUR(B210)</f>
        <v/>
      </c>
      <c r="M210">
        <f>IF(L210&lt;6,"Night",IF(L210&lt;12,"Morning",IF(L210&lt;18,"Afternoon","Evening")))</f>
        <v/>
      </c>
      <c r="N210">
        <f>TEXT(A210,"DDD")</f>
        <v/>
      </c>
      <c r="O210">
        <f>WEEKNUM(A210)</f>
        <v/>
      </c>
      <c r="P210">
        <f>INDEX({"Q1","Q1","Q1","Q2","Q2","Q2","Q3","Q3","Q3","Q4","Q4","Q4"},MONTH(A210))</f>
        <v/>
      </c>
    </row>
    <row r="211">
      <c r="A211" s="18" t="n"/>
      <c r="B211" s="15" t="n"/>
      <c r="K211">
        <f>TEXT(A211,"MMM-YY")</f>
        <v/>
      </c>
      <c r="L211">
        <f>HOUR(B211)</f>
        <v/>
      </c>
      <c r="M211">
        <f>IF(L211&lt;6,"Night",IF(L211&lt;12,"Morning",IF(L211&lt;18,"Afternoon","Evening")))</f>
        <v/>
      </c>
      <c r="N211">
        <f>TEXT(A211,"DDD")</f>
        <v/>
      </c>
      <c r="O211">
        <f>WEEKNUM(A211)</f>
        <v/>
      </c>
      <c r="P211">
        <f>INDEX({"Q1","Q1","Q1","Q2","Q2","Q2","Q3","Q3","Q3","Q4","Q4","Q4"},MONTH(A211))</f>
        <v/>
      </c>
    </row>
    <row r="212">
      <c r="A212" s="18" t="n"/>
      <c r="B212" s="15" t="n"/>
      <c r="K212">
        <f>TEXT(A212,"MMM-YY")</f>
        <v/>
      </c>
      <c r="L212">
        <f>HOUR(B212)</f>
        <v/>
      </c>
      <c r="M212">
        <f>IF(L212&lt;6,"Night",IF(L212&lt;12,"Morning",IF(L212&lt;18,"Afternoon","Evening")))</f>
        <v/>
      </c>
      <c r="N212">
        <f>TEXT(A212,"DDD")</f>
        <v/>
      </c>
      <c r="O212">
        <f>WEEKNUM(A212)</f>
        <v/>
      </c>
      <c r="P212">
        <f>INDEX({"Q1","Q1","Q1","Q2","Q2","Q2","Q3","Q3","Q3","Q4","Q4","Q4"},MONTH(A212))</f>
        <v/>
      </c>
    </row>
    <row r="213">
      <c r="A213" s="18" t="n"/>
      <c r="B213" s="15" t="n"/>
      <c r="K213">
        <f>TEXT(A213,"MMM-YY")</f>
        <v/>
      </c>
      <c r="L213">
        <f>HOUR(B213)</f>
        <v/>
      </c>
      <c r="M213">
        <f>IF(L213&lt;6,"Night",IF(L213&lt;12,"Morning",IF(L213&lt;18,"Afternoon","Evening")))</f>
        <v/>
      </c>
      <c r="N213">
        <f>TEXT(A213,"DDD")</f>
        <v/>
      </c>
      <c r="O213">
        <f>WEEKNUM(A213)</f>
        <v/>
      </c>
      <c r="P213">
        <f>INDEX({"Q1","Q1","Q1","Q2","Q2","Q2","Q3","Q3","Q3","Q4","Q4","Q4"},MONTH(A213))</f>
        <v/>
      </c>
    </row>
    <row r="214">
      <c r="A214" s="18" t="n"/>
      <c r="B214" s="15" t="n"/>
      <c r="K214">
        <f>TEXT(A214,"MMM-YY")</f>
        <v/>
      </c>
      <c r="L214">
        <f>HOUR(B214)</f>
        <v/>
      </c>
      <c r="M214">
        <f>IF(L214&lt;6,"Night",IF(L214&lt;12,"Morning",IF(L214&lt;18,"Afternoon","Evening")))</f>
        <v/>
      </c>
      <c r="N214">
        <f>TEXT(A214,"DDD")</f>
        <v/>
      </c>
      <c r="O214">
        <f>WEEKNUM(A214)</f>
        <v/>
      </c>
      <c r="P214">
        <f>INDEX({"Q1","Q1","Q1","Q2","Q2","Q2","Q3","Q3","Q3","Q4","Q4","Q4"},MONTH(A214))</f>
        <v/>
      </c>
    </row>
    <row r="215">
      <c r="A215" s="18" t="n"/>
      <c r="B215" s="15" t="n"/>
      <c r="K215">
        <f>TEXT(A215,"MMM-YY")</f>
        <v/>
      </c>
      <c r="L215">
        <f>HOUR(B215)</f>
        <v/>
      </c>
      <c r="M215">
        <f>IF(L215&lt;6,"Night",IF(L215&lt;12,"Morning",IF(L215&lt;18,"Afternoon","Evening")))</f>
        <v/>
      </c>
      <c r="N215">
        <f>TEXT(A215,"DDD")</f>
        <v/>
      </c>
      <c r="O215">
        <f>WEEKNUM(A215)</f>
        <v/>
      </c>
      <c r="P215">
        <f>INDEX({"Q1","Q1","Q1","Q2","Q2","Q2","Q3","Q3","Q3","Q4","Q4","Q4"},MONTH(A215))</f>
        <v/>
      </c>
    </row>
    <row r="216">
      <c r="A216" s="18" t="n"/>
      <c r="B216" s="15" t="n"/>
      <c r="K216">
        <f>TEXT(A216,"MMM-YY")</f>
        <v/>
      </c>
      <c r="L216">
        <f>HOUR(B216)</f>
        <v/>
      </c>
      <c r="M216">
        <f>IF(L216&lt;6,"Night",IF(L216&lt;12,"Morning",IF(L216&lt;18,"Afternoon","Evening")))</f>
        <v/>
      </c>
      <c r="N216">
        <f>TEXT(A216,"DDD")</f>
        <v/>
      </c>
      <c r="O216">
        <f>WEEKNUM(A216)</f>
        <v/>
      </c>
      <c r="P216">
        <f>INDEX({"Q1","Q1","Q1","Q2","Q2","Q2","Q3","Q3","Q3","Q4","Q4","Q4"},MONTH(A216))</f>
        <v/>
      </c>
    </row>
    <row r="217">
      <c r="A217" s="18" t="n"/>
      <c r="B217" s="15" t="n"/>
      <c r="K217">
        <f>TEXT(A217,"MMM-YY")</f>
        <v/>
      </c>
      <c r="L217">
        <f>HOUR(B217)</f>
        <v/>
      </c>
      <c r="M217">
        <f>IF(L217&lt;6,"Night",IF(L217&lt;12,"Morning",IF(L217&lt;18,"Afternoon","Evening")))</f>
        <v/>
      </c>
      <c r="N217">
        <f>TEXT(A217,"DDD")</f>
        <v/>
      </c>
      <c r="O217">
        <f>WEEKNUM(A217)</f>
        <v/>
      </c>
      <c r="P217">
        <f>INDEX({"Q1","Q1","Q1","Q2","Q2","Q2","Q3","Q3","Q3","Q4","Q4","Q4"},MONTH(A217))</f>
        <v/>
      </c>
    </row>
    <row r="218">
      <c r="A218" s="18" t="n"/>
      <c r="B218" s="15" t="n"/>
      <c r="K218">
        <f>TEXT(A218,"MMM-YY")</f>
        <v/>
      </c>
      <c r="L218">
        <f>HOUR(B218)</f>
        <v/>
      </c>
      <c r="M218">
        <f>IF(L218&lt;6,"Night",IF(L218&lt;12,"Morning",IF(L218&lt;18,"Afternoon","Evening")))</f>
        <v/>
      </c>
      <c r="N218">
        <f>TEXT(A218,"DDD")</f>
        <v/>
      </c>
      <c r="O218">
        <f>WEEKNUM(A218)</f>
        <v/>
      </c>
      <c r="P218">
        <f>INDEX({"Q1","Q1","Q1","Q2","Q2","Q2","Q3","Q3","Q3","Q4","Q4","Q4"},MONTH(A218))</f>
        <v/>
      </c>
    </row>
    <row r="219">
      <c r="A219" s="18" t="n"/>
      <c r="B219" s="15" t="n"/>
      <c r="K219">
        <f>TEXT(A219,"MMM-YY")</f>
        <v/>
      </c>
      <c r="L219">
        <f>HOUR(B219)</f>
        <v/>
      </c>
      <c r="M219">
        <f>IF(L219&lt;6,"Night",IF(L219&lt;12,"Morning",IF(L219&lt;18,"Afternoon","Evening")))</f>
        <v/>
      </c>
      <c r="N219">
        <f>TEXT(A219,"DDD")</f>
        <v/>
      </c>
      <c r="O219">
        <f>WEEKNUM(A219)</f>
        <v/>
      </c>
      <c r="P219">
        <f>INDEX({"Q1","Q1","Q1","Q2","Q2","Q2","Q3","Q3","Q3","Q4","Q4","Q4"},MONTH(A219))</f>
        <v/>
      </c>
    </row>
    <row r="220">
      <c r="A220" s="18" t="n"/>
      <c r="B220" s="15" t="n"/>
      <c r="K220">
        <f>TEXT(A220,"MMM-YY")</f>
        <v/>
      </c>
      <c r="L220">
        <f>HOUR(B220)</f>
        <v/>
      </c>
      <c r="M220">
        <f>IF(L220&lt;6,"Night",IF(L220&lt;12,"Morning",IF(L220&lt;18,"Afternoon","Evening")))</f>
        <v/>
      </c>
      <c r="N220">
        <f>TEXT(A220,"DDD")</f>
        <v/>
      </c>
      <c r="O220">
        <f>WEEKNUM(A220)</f>
        <v/>
      </c>
      <c r="P220">
        <f>INDEX({"Q1","Q1","Q1","Q2","Q2","Q2","Q3","Q3","Q3","Q4","Q4","Q4"},MONTH(A220))</f>
        <v/>
      </c>
    </row>
    <row r="221">
      <c r="A221" s="18" t="n"/>
      <c r="B221" s="15" t="n"/>
      <c r="K221">
        <f>TEXT(A221,"MMM-YY")</f>
        <v/>
      </c>
      <c r="L221">
        <f>HOUR(B221)</f>
        <v/>
      </c>
      <c r="M221">
        <f>IF(L221&lt;6,"Night",IF(L221&lt;12,"Morning",IF(L221&lt;18,"Afternoon","Evening")))</f>
        <v/>
      </c>
      <c r="N221">
        <f>TEXT(A221,"DDD")</f>
        <v/>
      </c>
      <c r="O221">
        <f>WEEKNUM(A221)</f>
        <v/>
      </c>
      <c r="P221">
        <f>INDEX({"Q1","Q1","Q1","Q2","Q2","Q2","Q3","Q3","Q3","Q4","Q4","Q4"},MONTH(A221))</f>
        <v/>
      </c>
    </row>
    <row r="222">
      <c r="A222" s="18" t="n"/>
      <c r="B222" s="15" t="n"/>
      <c r="K222">
        <f>TEXT(A222,"MMM-YY")</f>
        <v/>
      </c>
      <c r="L222">
        <f>HOUR(B222)</f>
        <v/>
      </c>
      <c r="M222">
        <f>IF(L222&lt;6,"Night",IF(L222&lt;12,"Morning",IF(L222&lt;18,"Afternoon","Evening")))</f>
        <v/>
      </c>
      <c r="N222">
        <f>TEXT(A222,"DDD")</f>
        <v/>
      </c>
      <c r="O222">
        <f>WEEKNUM(A222)</f>
        <v/>
      </c>
      <c r="P222">
        <f>INDEX({"Q1","Q1","Q1","Q2","Q2","Q2","Q3","Q3","Q3","Q4","Q4","Q4"},MONTH(A222))</f>
        <v/>
      </c>
    </row>
    <row r="223">
      <c r="A223" s="18" t="n"/>
      <c r="B223" s="15" t="n"/>
      <c r="K223">
        <f>TEXT(A223,"MMM-YY")</f>
        <v/>
      </c>
      <c r="L223">
        <f>HOUR(B223)</f>
        <v/>
      </c>
      <c r="M223">
        <f>IF(L223&lt;6,"Night",IF(L223&lt;12,"Morning",IF(L223&lt;18,"Afternoon","Evening")))</f>
        <v/>
      </c>
      <c r="N223">
        <f>TEXT(A223,"DDD")</f>
        <v/>
      </c>
      <c r="O223">
        <f>WEEKNUM(A223)</f>
        <v/>
      </c>
      <c r="P223">
        <f>INDEX({"Q1","Q1","Q1","Q2","Q2","Q2","Q3","Q3","Q3","Q4","Q4","Q4"},MONTH(A223))</f>
        <v/>
      </c>
    </row>
    <row r="224">
      <c r="A224" s="18" t="n"/>
      <c r="B224" s="15" t="n"/>
      <c r="K224">
        <f>TEXT(A224,"MMM-YY")</f>
        <v/>
      </c>
      <c r="L224">
        <f>HOUR(B224)</f>
        <v/>
      </c>
      <c r="M224">
        <f>IF(L224&lt;6,"Night",IF(L224&lt;12,"Morning",IF(L224&lt;18,"Afternoon","Evening")))</f>
        <v/>
      </c>
      <c r="N224">
        <f>TEXT(A224,"DDD")</f>
        <v/>
      </c>
      <c r="O224">
        <f>WEEKNUM(A224)</f>
        <v/>
      </c>
      <c r="P224">
        <f>INDEX({"Q1","Q1","Q1","Q2","Q2","Q2","Q3","Q3","Q3","Q4","Q4","Q4"},MONTH(A224))</f>
        <v/>
      </c>
    </row>
    <row r="225">
      <c r="A225" s="18" t="n"/>
      <c r="B225" s="15" t="n"/>
      <c r="K225">
        <f>TEXT(A225,"MMM-YY")</f>
        <v/>
      </c>
      <c r="L225">
        <f>HOUR(B225)</f>
        <v/>
      </c>
      <c r="M225">
        <f>IF(L225&lt;6,"Night",IF(L225&lt;12,"Morning",IF(L225&lt;18,"Afternoon","Evening")))</f>
        <v/>
      </c>
      <c r="N225">
        <f>TEXT(A225,"DDD")</f>
        <v/>
      </c>
      <c r="O225">
        <f>WEEKNUM(A225)</f>
        <v/>
      </c>
      <c r="P225">
        <f>INDEX({"Q1","Q1","Q1","Q2","Q2","Q2","Q3","Q3","Q3","Q4","Q4","Q4"},MONTH(A225))</f>
        <v/>
      </c>
    </row>
    <row r="226">
      <c r="A226" s="18" t="n"/>
      <c r="B226" s="15" t="n"/>
      <c r="K226">
        <f>TEXT(A226,"MMM-YY")</f>
        <v/>
      </c>
      <c r="L226">
        <f>HOUR(B226)</f>
        <v/>
      </c>
      <c r="M226">
        <f>IF(L226&lt;6,"Night",IF(L226&lt;12,"Morning",IF(L226&lt;18,"Afternoon","Evening")))</f>
        <v/>
      </c>
      <c r="N226">
        <f>TEXT(A226,"DDD")</f>
        <v/>
      </c>
      <c r="O226">
        <f>WEEKNUM(A226)</f>
        <v/>
      </c>
      <c r="P226">
        <f>INDEX({"Q1","Q1","Q1","Q2","Q2","Q2","Q3","Q3","Q3","Q4","Q4","Q4"},MONTH(A226))</f>
        <v/>
      </c>
    </row>
    <row r="227">
      <c r="A227" s="18" t="n"/>
      <c r="B227" s="15" t="n"/>
      <c r="K227">
        <f>TEXT(A227,"MMM-YY")</f>
        <v/>
      </c>
      <c r="L227">
        <f>HOUR(B227)</f>
        <v/>
      </c>
      <c r="M227">
        <f>IF(L227&lt;6,"Night",IF(L227&lt;12,"Morning",IF(L227&lt;18,"Afternoon","Evening")))</f>
        <v/>
      </c>
      <c r="N227">
        <f>TEXT(A227,"DDD")</f>
        <v/>
      </c>
      <c r="O227">
        <f>WEEKNUM(A227)</f>
        <v/>
      </c>
      <c r="P227">
        <f>INDEX({"Q1","Q1","Q1","Q2","Q2","Q2","Q3","Q3","Q3","Q4","Q4","Q4"},MONTH(A227))</f>
        <v/>
      </c>
    </row>
    <row r="228">
      <c r="A228" s="18" t="n"/>
      <c r="B228" s="15" t="n"/>
      <c r="K228">
        <f>TEXT(A228,"MMM-YY")</f>
        <v/>
      </c>
      <c r="L228">
        <f>HOUR(B228)</f>
        <v/>
      </c>
      <c r="M228">
        <f>IF(L228&lt;6,"Night",IF(L228&lt;12,"Morning",IF(L228&lt;18,"Afternoon","Evening")))</f>
        <v/>
      </c>
      <c r="N228">
        <f>TEXT(A228,"DDD")</f>
        <v/>
      </c>
      <c r="O228">
        <f>WEEKNUM(A228)</f>
        <v/>
      </c>
      <c r="P228">
        <f>INDEX({"Q1","Q1","Q1","Q2","Q2","Q2","Q3","Q3","Q3","Q4","Q4","Q4"},MONTH(A228))</f>
        <v/>
      </c>
    </row>
    <row r="229">
      <c r="A229" s="18" t="n"/>
      <c r="B229" s="15" t="n"/>
      <c r="K229">
        <f>TEXT(A229,"MMM-YY")</f>
        <v/>
      </c>
      <c r="L229">
        <f>HOUR(B229)</f>
        <v/>
      </c>
      <c r="M229">
        <f>IF(L229&lt;6,"Night",IF(L229&lt;12,"Morning",IF(L229&lt;18,"Afternoon","Evening")))</f>
        <v/>
      </c>
      <c r="N229">
        <f>TEXT(A229,"DDD")</f>
        <v/>
      </c>
      <c r="O229">
        <f>WEEKNUM(A229)</f>
        <v/>
      </c>
      <c r="P229">
        <f>INDEX({"Q1","Q1","Q1","Q2","Q2","Q2","Q3","Q3","Q3","Q4","Q4","Q4"},MONTH(A229))</f>
        <v/>
      </c>
    </row>
    <row r="230">
      <c r="A230" s="18" t="n"/>
      <c r="B230" s="15" t="n"/>
      <c r="K230">
        <f>TEXT(A230,"MMM-YY")</f>
        <v/>
      </c>
      <c r="L230">
        <f>HOUR(B230)</f>
        <v/>
      </c>
      <c r="M230">
        <f>IF(L230&lt;6,"Night",IF(L230&lt;12,"Morning",IF(L230&lt;18,"Afternoon","Evening")))</f>
        <v/>
      </c>
      <c r="N230">
        <f>TEXT(A230,"DDD")</f>
        <v/>
      </c>
      <c r="O230">
        <f>WEEKNUM(A230)</f>
        <v/>
      </c>
      <c r="P230">
        <f>INDEX({"Q1","Q1","Q1","Q2","Q2","Q2","Q3","Q3","Q3","Q4","Q4","Q4"},MONTH(A230))</f>
        <v/>
      </c>
    </row>
    <row r="231">
      <c r="A231" s="18" t="n"/>
      <c r="B231" s="15" t="n"/>
      <c r="K231">
        <f>TEXT(A231,"MMM-YY")</f>
        <v/>
      </c>
      <c r="L231">
        <f>HOUR(B231)</f>
        <v/>
      </c>
      <c r="M231">
        <f>IF(L231&lt;6,"Night",IF(L231&lt;12,"Morning",IF(L231&lt;18,"Afternoon","Evening")))</f>
        <v/>
      </c>
      <c r="N231">
        <f>TEXT(A231,"DDD")</f>
        <v/>
      </c>
      <c r="O231">
        <f>WEEKNUM(A231)</f>
        <v/>
      </c>
      <c r="P231">
        <f>INDEX({"Q1","Q1","Q1","Q2","Q2","Q2","Q3","Q3","Q3","Q4","Q4","Q4"},MONTH(A231))</f>
        <v/>
      </c>
    </row>
    <row r="232">
      <c r="A232" s="18" t="n"/>
      <c r="B232" s="15" t="n"/>
      <c r="K232">
        <f>TEXT(A232,"MMM-YY")</f>
        <v/>
      </c>
      <c r="L232">
        <f>HOUR(B232)</f>
        <v/>
      </c>
      <c r="M232">
        <f>IF(L232&lt;6,"Night",IF(L232&lt;12,"Morning",IF(L232&lt;18,"Afternoon","Evening")))</f>
        <v/>
      </c>
      <c r="N232">
        <f>TEXT(A232,"DDD")</f>
        <v/>
      </c>
      <c r="O232">
        <f>WEEKNUM(A232)</f>
        <v/>
      </c>
      <c r="P232">
        <f>INDEX({"Q1","Q1","Q1","Q2","Q2","Q2","Q3","Q3","Q3","Q4","Q4","Q4"},MONTH(A232))</f>
        <v/>
      </c>
    </row>
    <row r="233">
      <c r="A233" s="18" t="n"/>
      <c r="B233" s="15" t="n"/>
      <c r="K233">
        <f>TEXT(A233,"MMM-YY")</f>
        <v/>
      </c>
      <c r="L233">
        <f>HOUR(B233)</f>
        <v/>
      </c>
      <c r="M233">
        <f>IF(L233&lt;6,"Night",IF(L233&lt;12,"Morning",IF(L233&lt;18,"Afternoon","Evening")))</f>
        <v/>
      </c>
      <c r="N233">
        <f>TEXT(A233,"DDD")</f>
        <v/>
      </c>
      <c r="O233">
        <f>WEEKNUM(A233)</f>
        <v/>
      </c>
      <c r="P233">
        <f>INDEX({"Q1","Q1","Q1","Q2","Q2","Q2","Q3","Q3","Q3","Q4","Q4","Q4"},MONTH(A233))</f>
        <v/>
      </c>
    </row>
    <row r="234">
      <c r="A234" s="18" t="n"/>
      <c r="B234" s="15" t="n"/>
      <c r="K234">
        <f>TEXT(A234,"MMM-YY")</f>
        <v/>
      </c>
      <c r="L234">
        <f>HOUR(B234)</f>
        <v/>
      </c>
      <c r="M234">
        <f>IF(L234&lt;6,"Night",IF(L234&lt;12,"Morning",IF(L234&lt;18,"Afternoon","Evening")))</f>
        <v/>
      </c>
      <c r="N234">
        <f>TEXT(A234,"DDD")</f>
        <v/>
      </c>
      <c r="O234">
        <f>WEEKNUM(A234)</f>
        <v/>
      </c>
      <c r="P234">
        <f>INDEX({"Q1","Q1","Q1","Q2","Q2","Q2","Q3","Q3","Q3","Q4","Q4","Q4"},MONTH(A234))</f>
        <v/>
      </c>
    </row>
    <row r="235">
      <c r="A235" s="18" t="n"/>
      <c r="B235" s="15" t="n"/>
      <c r="K235">
        <f>TEXT(A235,"MMM-YY")</f>
        <v/>
      </c>
      <c r="L235">
        <f>HOUR(B235)</f>
        <v/>
      </c>
      <c r="M235">
        <f>IF(L235&lt;6,"Night",IF(L235&lt;12,"Morning",IF(L235&lt;18,"Afternoon","Evening")))</f>
        <v/>
      </c>
      <c r="N235">
        <f>TEXT(A235,"DDD")</f>
        <v/>
      </c>
      <c r="O235">
        <f>WEEKNUM(A235)</f>
        <v/>
      </c>
      <c r="P235">
        <f>INDEX({"Q1","Q1","Q1","Q2","Q2","Q2","Q3","Q3","Q3","Q4","Q4","Q4"},MONTH(A235))</f>
        <v/>
      </c>
    </row>
    <row r="236">
      <c r="A236" s="18" t="n"/>
      <c r="B236" s="15" t="n"/>
      <c r="K236">
        <f>TEXT(A236,"MMM-YY")</f>
        <v/>
      </c>
      <c r="L236">
        <f>HOUR(B236)</f>
        <v/>
      </c>
      <c r="M236">
        <f>IF(L236&lt;6,"Night",IF(L236&lt;12,"Morning",IF(L236&lt;18,"Afternoon","Evening")))</f>
        <v/>
      </c>
      <c r="N236">
        <f>TEXT(A236,"DDD")</f>
        <v/>
      </c>
      <c r="O236">
        <f>WEEKNUM(A236)</f>
        <v/>
      </c>
      <c r="P236">
        <f>INDEX({"Q1","Q1","Q1","Q2","Q2","Q2","Q3","Q3","Q3","Q4","Q4","Q4"},MONTH(A236))</f>
        <v/>
      </c>
    </row>
    <row r="237">
      <c r="A237" s="18" t="n"/>
      <c r="B237" s="15" t="n"/>
      <c r="K237">
        <f>TEXT(A237,"MMM-YY")</f>
        <v/>
      </c>
      <c r="L237">
        <f>HOUR(B237)</f>
        <v/>
      </c>
      <c r="M237">
        <f>IF(L237&lt;6,"Night",IF(L237&lt;12,"Morning",IF(L237&lt;18,"Afternoon","Evening")))</f>
        <v/>
      </c>
      <c r="N237">
        <f>TEXT(A237,"DDD")</f>
        <v/>
      </c>
      <c r="O237">
        <f>WEEKNUM(A237)</f>
        <v/>
      </c>
      <c r="P237">
        <f>INDEX({"Q1","Q1","Q1","Q2","Q2","Q2","Q3","Q3","Q3","Q4","Q4","Q4"},MONTH(A237))</f>
        <v/>
      </c>
    </row>
    <row r="238">
      <c r="A238" s="18" t="n"/>
      <c r="B238" s="15" t="n"/>
      <c r="K238">
        <f>TEXT(A238,"MMM-YY")</f>
        <v/>
      </c>
      <c r="L238">
        <f>HOUR(B238)</f>
        <v/>
      </c>
      <c r="M238">
        <f>IF(L238&lt;6,"Night",IF(L238&lt;12,"Morning",IF(L238&lt;18,"Afternoon","Evening")))</f>
        <v/>
      </c>
      <c r="N238">
        <f>TEXT(A238,"DDD")</f>
        <v/>
      </c>
      <c r="O238">
        <f>WEEKNUM(A238)</f>
        <v/>
      </c>
      <c r="P238">
        <f>INDEX({"Q1","Q1","Q1","Q2","Q2","Q2","Q3","Q3","Q3","Q4","Q4","Q4"},MONTH(A238))</f>
        <v/>
      </c>
    </row>
    <row r="239">
      <c r="A239" s="18" t="n"/>
      <c r="B239" s="15" t="n"/>
      <c r="K239">
        <f>TEXT(A239,"MMM-YY")</f>
        <v/>
      </c>
      <c r="L239">
        <f>HOUR(B239)</f>
        <v/>
      </c>
      <c r="M239">
        <f>IF(L239&lt;6,"Night",IF(L239&lt;12,"Morning",IF(L239&lt;18,"Afternoon","Evening")))</f>
        <v/>
      </c>
      <c r="N239">
        <f>TEXT(A239,"DDD")</f>
        <v/>
      </c>
      <c r="O239">
        <f>WEEKNUM(A239)</f>
        <v/>
      </c>
      <c r="P239">
        <f>INDEX({"Q1","Q1","Q1","Q2","Q2","Q2","Q3","Q3","Q3","Q4","Q4","Q4"},MONTH(A239))</f>
        <v/>
      </c>
    </row>
    <row r="240">
      <c r="A240" s="18" t="n"/>
      <c r="B240" s="15" t="n"/>
      <c r="K240">
        <f>TEXT(A240,"MMM-YY")</f>
        <v/>
      </c>
      <c r="L240">
        <f>HOUR(B240)</f>
        <v/>
      </c>
      <c r="M240">
        <f>IF(L240&lt;6,"Night",IF(L240&lt;12,"Morning",IF(L240&lt;18,"Afternoon","Evening")))</f>
        <v/>
      </c>
      <c r="N240">
        <f>TEXT(A240,"DDD")</f>
        <v/>
      </c>
      <c r="O240">
        <f>WEEKNUM(A240)</f>
        <v/>
      </c>
      <c r="P240">
        <f>INDEX({"Q1","Q1","Q1","Q2","Q2","Q2","Q3","Q3","Q3","Q4","Q4","Q4"},MONTH(A240))</f>
        <v/>
      </c>
    </row>
    <row r="241">
      <c r="A241" s="18" t="n"/>
      <c r="B241" s="15" t="n"/>
      <c r="K241">
        <f>TEXT(A241,"MMM-YY")</f>
        <v/>
      </c>
      <c r="L241">
        <f>HOUR(B241)</f>
        <v/>
      </c>
      <c r="M241">
        <f>IF(L241&lt;6,"Night",IF(L241&lt;12,"Morning",IF(L241&lt;18,"Afternoon","Evening")))</f>
        <v/>
      </c>
      <c r="N241">
        <f>TEXT(A241,"DDD")</f>
        <v/>
      </c>
      <c r="O241">
        <f>WEEKNUM(A241)</f>
        <v/>
      </c>
      <c r="P241">
        <f>INDEX({"Q1","Q1","Q1","Q2","Q2","Q2","Q3","Q3","Q3","Q4","Q4","Q4"},MONTH(A241))</f>
        <v/>
      </c>
    </row>
    <row r="242">
      <c r="A242" s="18" t="n"/>
      <c r="B242" s="15" t="n"/>
      <c r="K242">
        <f>TEXT(A242,"MMM-YY")</f>
        <v/>
      </c>
      <c r="L242">
        <f>HOUR(B242)</f>
        <v/>
      </c>
      <c r="M242">
        <f>IF(L242&lt;6,"Night",IF(L242&lt;12,"Morning",IF(L242&lt;18,"Afternoon","Evening")))</f>
        <v/>
      </c>
      <c r="N242">
        <f>TEXT(A242,"DDD")</f>
        <v/>
      </c>
      <c r="O242">
        <f>WEEKNUM(A242)</f>
        <v/>
      </c>
      <c r="P242">
        <f>INDEX({"Q1","Q1","Q1","Q2","Q2","Q2","Q3","Q3","Q3","Q4","Q4","Q4"},MONTH(A242))</f>
        <v/>
      </c>
    </row>
    <row r="243">
      <c r="A243" s="18" t="n"/>
      <c r="B243" s="15" t="n"/>
      <c r="K243">
        <f>TEXT(A243,"MMM-YY")</f>
        <v/>
      </c>
      <c r="L243">
        <f>HOUR(B243)</f>
        <v/>
      </c>
      <c r="M243">
        <f>IF(L243&lt;6,"Night",IF(L243&lt;12,"Morning",IF(L243&lt;18,"Afternoon","Evening")))</f>
        <v/>
      </c>
      <c r="N243">
        <f>TEXT(A243,"DDD")</f>
        <v/>
      </c>
      <c r="O243">
        <f>WEEKNUM(A243)</f>
        <v/>
      </c>
      <c r="P243">
        <f>INDEX({"Q1","Q1","Q1","Q2","Q2","Q2","Q3","Q3","Q3","Q4","Q4","Q4"},MONTH(A243))</f>
        <v/>
      </c>
    </row>
    <row r="244">
      <c r="A244" s="18" t="n"/>
      <c r="B244" s="15" t="n"/>
      <c r="K244">
        <f>TEXT(A244,"MMM-YY")</f>
        <v/>
      </c>
      <c r="L244">
        <f>HOUR(B244)</f>
        <v/>
      </c>
      <c r="M244">
        <f>IF(L244&lt;6,"Night",IF(L244&lt;12,"Morning",IF(L244&lt;18,"Afternoon","Evening")))</f>
        <v/>
      </c>
      <c r="N244">
        <f>TEXT(A244,"DDD")</f>
        <v/>
      </c>
      <c r="O244">
        <f>WEEKNUM(A244)</f>
        <v/>
      </c>
      <c r="P244">
        <f>INDEX({"Q1","Q1","Q1","Q2","Q2","Q2","Q3","Q3","Q3","Q4","Q4","Q4"},MONTH(A244))</f>
        <v/>
      </c>
    </row>
    <row r="245">
      <c r="A245" s="18" t="n"/>
      <c r="B245" s="15" t="n"/>
      <c r="K245">
        <f>TEXT(A245,"MMM-YY")</f>
        <v/>
      </c>
      <c r="L245">
        <f>HOUR(B245)</f>
        <v/>
      </c>
      <c r="M245">
        <f>IF(L245&lt;6,"Night",IF(L245&lt;12,"Morning",IF(L245&lt;18,"Afternoon","Evening")))</f>
        <v/>
      </c>
      <c r="N245">
        <f>TEXT(A245,"DDD")</f>
        <v/>
      </c>
      <c r="O245">
        <f>WEEKNUM(A245)</f>
        <v/>
      </c>
      <c r="P245">
        <f>INDEX({"Q1","Q1","Q1","Q2","Q2","Q2","Q3","Q3","Q3","Q4","Q4","Q4"},MONTH(A245))</f>
        <v/>
      </c>
    </row>
    <row r="246">
      <c r="A246" s="18" t="n"/>
      <c r="B246" s="15" t="n"/>
      <c r="K246">
        <f>TEXT(A246,"MMM-YY")</f>
        <v/>
      </c>
      <c r="L246">
        <f>HOUR(B246)</f>
        <v/>
      </c>
      <c r="M246">
        <f>IF(L246&lt;6,"Night",IF(L246&lt;12,"Morning",IF(L246&lt;18,"Afternoon","Evening")))</f>
        <v/>
      </c>
      <c r="N246">
        <f>TEXT(A246,"DDD")</f>
        <v/>
      </c>
      <c r="O246">
        <f>WEEKNUM(A246)</f>
        <v/>
      </c>
      <c r="P246">
        <f>INDEX({"Q1","Q1","Q1","Q2","Q2","Q2","Q3","Q3","Q3","Q4","Q4","Q4"},MONTH(A246))</f>
        <v/>
      </c>
    </row>
    <row r="247">
      <c r="A247" s="18" t="n"/>
      <c r="B247" s="15" t="n"/>
      <c r="K247">
        <f>TEXT(A247,"MMM-YY")</f>
        <v/>
      </c>
      <c r="L247">
        <f>HOUR(B247)</f>
        <v/>
      </c>
      <c r="M247">
        <f>IF(L247&lt;6,"Night",IF(L247&lt;12,"Morning",IF(L247&lt;18,"Afternoon","Evening")))</f>
        <v/>
      </c>
      <c r="N247">
        <f>TEXT(A247,"DDD")</f>
        <v/>
      </c>
      <c r="O247">
        <f>WEEKNUM(A247)</f>
        <v/>
      </c>
      <c r="P247">
        <f>INDEX({"Q1","Q1","Q1","Q2","Q2","Q2","Q3","Q3","Q3","Q4","Q4","Q4"},MONTH(A247))</f>
        <v/>
      </c>
    </row>
    <row r="248">
      <c r="A248" s="18" t="n"/>
      <c r="B248" s="15" t="n"/>
      <c r="K248">
        <f>TEXT(A248,"MMM-YY")</f>
        <v/>
      </c>
      <c r="L248">
        <f>HOUR(B248)</f>
        <v/>
      </c>
      <c r="M248">
        <f>IF(L248&lt;6,"Night",IF(L248&lt;12,"Morning",IF(L248&lt;18,"Afternoon","Evening")))</f>
        <v/>
      </c>
      <c r="N248">
        <f>TEXT(A248,"DDD")</f>
        <v/>
      </c>
      <c r="O248">
        <f>WEEKNUM(A248)</f>
        <v/>
      </c>
      <c r="P248">
        <f>INDEX({"Q1","Q1","Q1","Q2","Q2","Q2","Q3","Q3","Q3","Q4","Q4","Q4"},MONTH(A248))</f>
        <v/>
      </c>
    </row>
    <row r="249">
      <c r="A249" s="18" t="n"/>
      <c r="B249" s="15" t="n"/>
      <c r="K249">
        <f>TEXT(A249,"MMM-YY")</f>
        <v/>
      </c>
      <c r="L249">
        <f>HOUR(B249)</f>
        <v/>
      </c>
      <c r="M249">
        <f>IF(L249&lt;6,"Night",IF(L249&lt;12,"Morning",IF(L249&lt;18,"Afternoon","Evening")))</f>
        <v/>
      </c>
      <c r="N249">
        <f>TEXT(A249,"DDD")</f>
        <v/>
      </c>
      <c r="O249">
        <f>WEEKNUM(A249)</f>
        <v/>
      </c>
      <c r="P249">
        <f>INDEX({"Q1","Q1","Q1","Q2","Q2","Q2","Q3","Q3","Q3","Q4","Q4","Q4"},MONTH(A249))</f>
        <v/>
      </c>
    </row>
    <row r="250">
      <c r="A250" s="18" t="n"/>
      <c r="B250" s="15" t="n"/>
      <c r="K250">
        <f>TEXT(A250,"MMM-YY")</f>
        <v/>
      </c>
      <c r="L250">
        <f>HOUR(B250)</f>
        <v/>
      </c>
      <c r="M250">
        <f>IF(L250&lt;6,"Night",IF(L250&lt;12,"Morning",IF(L250&lt;18,"Afternoon","Evening")))</f>
        <v/>
      </c>
      <c r="N250">
        <f>TEXT(A250,"DDD")</f>
        <v/>
      </c>
      <c r="O250">
        <f>WEEKNUM(A250)</f>
        <v/>
      </c>
      <c r="P250">
        <f>INDEX({"Q1","Q1","Q1","Q2","Q2","Q2","Q3","Q3","Q3","Q4","Q4","Q4"},MONTH(A250))</f>
        <v/>
      </c>
    </row>
    <row r="251">
      <c r="A251" s="18" t="n"/>
      <c r="B251" s="15" t="n"/>
      <c r="K251">
        <f>TEXT(A251,"MMM-YY")</f>
        <v/>
      </c>
      <c r="L251">
        <f>HOUR(B251)</f>
        <v/>
      </c>
      <c r="M251">
        <f>IF(L251&lt;6,"Night",IF(L251&lt;12,"Morning",IF(L251&lt;18,"Afternoon","Evening")))</f>
        <v/>
      </c>
      <c r="N251">
        <f>TEXT(A251,"DDD")</f>
        <v/>
      </c>
      <c r="O251">
        <f>WEEKNUM(A251)</f>
        <v/>
      </c>
      <c r="P251">
        <f>INDEX({"Q1","Q1","Q1","Q2","Q2","Q2","Q3","Q3","Q3","Q4","Q4","Q4"},MONTH(A251))</f>
        <v/>
      </c>
    </row>
    <row r="252">
      <c r="A252" s="18" t="n"/>
      <c r="B252" s="15" t="n"/>
      <c r="K252">
        <f>TEXT(A252,"MMM-YY")</f>
        <v/>
      </c>
      <c r="L252">
        <f>HOUR(B252)</f>
        <v/>
      </c>
      <c r="M252">
        <f>IF(L252&lt;6,"Night",IF(L252&lt;12,"Morning",IF(L252&lt;18,"Afternoon","Evening")))</f>
        <v/>
      </c>
      <c r="N252">
        <f>TEXT(A252,"DDD")</f>
        <v/>
      </c>
      <c r="O252">
        <f>WEEKNUM(A252)</f>
        <v/>
      </c>
      <c r="P252">
        <f>INDEX({"Q1","Q1","Q1","Q2","Q2","Q2","Q3","Q3","Q3","Q4","Q4","Q4"},MONTH(A252))</f>
        <v/>
      </c>
    </row>
    <row r="253">
      <c r="A253" s="18" t="n"/>
      <c r="B253" s="15" t="n"/>
      <c r="K253">
        <f>TEXT(A253,"MMM-YY")</f>
        <v/>
      </c>
      <c r="L253">
        <f>HOUR(B253)</f>
        <v/>
      </c>
      <c r="M253">
        <f>IF(L253&lt;6,"Night",IF(L253&lt;12,"Morning",IF(L253&lt;18,"Afternoon","Evening")))</f>
        <v/>
      </c>
      <c r="N253">
        <f>TEXT(A253,"DDD")</f>
        <v/>
      </c>
      <c r="O253">
        <f>WEEKNUM(A253)</f>
        <v/>
      </c>
      <c r="P253">
        <f>INDEX({"Q1","Q1","Q1","Q2","Q2","Q2","Q3","Q3","Q3","Q4","Q4","Q4"},MONTH(A253))</f>
        <v/>
      </c>
    </row>
    <row r="254">
      <c r="A254" s="18" t="n"/>
      <c r="B254" s="15" t="n"/>
      <c r="K254">
        <f>TEXT(A254,"MMM-YY")</f>
        <v/>
      </c>
      <c r="L254">
        <f>HOUR(B254)</f>
        <v/>
      </c>
      <c r="M254">
        <f>IF(L254&lt;6,"Night",IF(L254&lt;12,"Morning",IF(L254&lt;18,"Afternoon","Evening")))</f>
        <v/>
      </c>
      <c r="N254">
        <f>TEXT(A254,"DDD")</f>
        <v/>
      </c>
      <c r="O254">
        <f>WEEKNUM(A254)</f>
        <v/>
      </c>
      <c r="P254">
        <f>INDEX({"Q1","Q1","Q1","Q2","Q2","Q2","Q3","Q3","Q3","Q4","Q4","Q4"},MONTH(A254))</f>
        <v/>
      </c>
    </row>
    <row r="255">
      <c r="A255" s="18" t="n"/>
      <c r="B255" s="15" t="n"/>
      <c r="K255">
        <f>TEXT(A255,"MMM-YY")</f>
        <v/>
      </c>
      <c r="L255">
        <f>HOUR(B255)</f>
        <v/>
      </c>
      <c r="M255">
        <f>IF(L255&lt;6,"Night",IF(L255&lt;12,"Morning",IF(L255&lt;18,"Afternoon","Evening")))</f>
        <v/>
      </c>
      <c r="N255">
        <f>TEXT(A255,"DDD")</f>
        <v/>
      </c>
      <c r="O255">
        <f>WEEKNUM(A255)</f>
        <v/>
      </c>
      <c r="P255">
        <f>INDEX({"Q1","Q1","Q1","Q2","Q2","Q2","Q3","Q3","Q3","Q4","Q4","Q4"},MONTH(A255))</f>
        <v/>
      </c>
    </row>
    <row r="256">
      <c r="A256" s="18" t="n"/>
      <c r="B256" s="15" t="n"/>
      <c r="K256">
        <f>TEXT(A256,"MMM-YY")</f>
        <v/>
      </c>
      <c r="L256">
        <f>HOUR(B256)</f>
        <v/>
      </c>
      <c r="M256">
        <f>IF(L256&lt;6,"Night",IF(L256&lt;12,"Morning",IF(L256&lt;18,"Afternoon","Evening")))</f>
        <v/>
      </c>
      <c r="N256">
        <f>TEXT(A256,"DDD")</f>
        <v/>
      </c>
      <c r="O256">
        <f>WEEKNUM(A256)</f>
        <v/>
      </c>
      <c r="P256">
        <f>INDEX({"Q1","Q1","Q1","Q2","Q2","Q2","Q3","Q3","Q3","Q4","Q4","Q4"},MONTH(A256))</f>
        <v/>
      </c>
    </row>
    <row r="257">
      <c r="A257" s="18" t="n"/>
      <c r="B257" s="15" t="n"/>
      <c r="K257">
        <f>TEXT(A257,"MMM-YY")</f>
        <v/>
      </c>
      <c r="L257">
        <f>HOUR(B257)</f>
        <v/>
      </c>
      <c r="M257">
        <f>IF(L257&lt;6,"Night",IF(L257&lt;12,"Morning",IF(L257&lt;18,"Afternoon","Evening")))</f>
        <v/>
      </c>
      <c r="N257">
        <f>TEXT(A257,"DDD")</f>
        <v/>
      </c>
      <c r="O257">
        <f>WEEKNUM(A257)</f>
        <v/>
      </c>
      <c r="P257">
        <f>INDEX({"Q1","Q1","Q1","Q2","Q2","Q2","Q3","Q3","Q3","Q4","Q4","Q4"},MONTH(A257))</f>
        <v/>
      </c>
    </row>
    <row r="258">
      <c r="A258" s="18" t="n"/>
      <c r="B258" s="15" t="n"/>
      <c r="K258">
        <f>TEXT(A258,"MMM-YY")</f>
        <v/>
      </c>
      <c r="L258">
        <f>HOUR(B258)</f>
        <v/>
      </c>
      <c r="M258">
        <f>IF(L258&lt;6,"Night",IF(L258&lt;12,"Morning",IF(L258&lt;18,"Afternoon","Evening")))</f>
        <v/>
      </c>
      <c r="N258">
        <f>TEXT(A258,"DDD")</f>
        <v/>
      </c>
      <c r="O258">
        <f>WEEKNUM(A258)</f>
        <v/>
      </c>
      <c r="P258">
        <f>INDEX({"Q1","Q1","Q1","Q2","Q2","Q2","Q3","Q3","Q3","Q4","Q4","Q4"},MONTH(A258))</f>
        <v/>
      </c>
    </row>
    <row r="259">
      <c r="A259" s="18" t="n"/>
      <c r="B259" s="15" t="n"/>
      <c r="K259">
        <f>TEXT(A259,"MMM-YY")</f>
        <v/>
      </c>
      <c r="L259">
        <f>HOUR(B259)</f>
        <v/>
      </c>
      <c r="M259">
        <f>IF(L259&lt;6,"Night",IF(L259&lt;12,"Morning",IF(L259&lt;18,"Afternoon","Evening")))</f>
        <v/>
      </c>
      <c r="N259">
        <f>TEXT(A259,"DDD")</f>
        <v/>
      </c>
      <c r="O259">
        <f>WEEKNUM(A259)</f>
        <v/>
      </c>
      <c r="P259">
        <f>INDEX({"Q1","Q1","Q1","Q2","Q2","Q2","Q3","Q3","Q3","Q4","Q4","Q4"},MONTH(A259))</f>
        <v/>
      </c>
    </row>
    <row r="260">
      <c r="A260" s="18" t="n"/>
      <c r="B260" s="15" t="n"/>
      <c r="K260">
        <f>TEXT(A260,"MMM-YY")</f>
        <v/>
      </c>
      <c r="L260">
        <f>HOUR(B260)</f>
        <v/>
      </c>
      <c r="M260">
        <f>IF(L260&lt;6,"Night",IF(L260&lt;12,"Morning",IF(L260&lt;18,"Afternoon","Evening")))</f>
        <v/>
      </c>
      <c r="N260">
        <f>TEXT(A260,"DDD")</f>
        <v/>
      </c>
      <c r="O260">
        <f>WEEKNUM(A260)</f>
        <v/>
      </c>
      <c r="P260">
        <f>INDEX({"Q1","Q1","Q1","Q2","Q2","Q2","Q3","Q3","Q3","Q4","Q4","Q4"},MONTH(A260))</f>
        <v/>
      </c>
    </row>
    <row r="261">
      <c r="A261" s="18" t="n"/>
      <c r="B261" s="15" t="n"/>
      <c r="K261">
        <f>TEXT(A261,"MMM-YY")</f>
        <v/>
      </c>
      <c r="L261">
        <f>HOUR(B261)</f>
        <v/>
      </c>
      <c r="M261">
        <f>IF(L261&lt;6,"Night",IF(L261&lt;12,"Morning",IF(L261&lt;18,"Afternoon","Evening")))</f>
        <v/>
      </c>
      <c r="N261">
        <f>TEXT(A261,"DDD")</f>
        <v/>
      </c>
      <c r="O261">
        <f>WEEKNUM(A261)</f>
        <v/>
      </c>
      <c r="P261">
        <f>INDEX({"Q1","Q1","Q1","Q2","Q2","Q2","Q3","Q3","Q3","Q4","Q4","Q4"},MONTH(A261))</f>
        <v/>
      </c>
    </row>
    <row r="262">
      <c r="A262" s="18" t="n"/>
      <c r="B262" s="15" t="n"/>
      <c r="K262">
        <f>TEXT(A262,"MMM-YY")</f>
        <v/>
      </c>
      <c r="L262">
        <f>HOUR(B262)</f>
        <v/>
      </c>
      <c r="M262">
        <f>IF(L262&lt;6,"Night",IF(L262&lt;12,"Morning",IF(L262&lt;18,"Afternoon","Evening")))</f>
        <v/>
      </c>
      <c r="N262">
        <f>TEXT(A262,"DDD")</f>
        <v/>
      </c>
      <c r="O262">
        <f>WEEKNUM(A262)</f>
        <v/>
      </c>
      <c r="P262">
        <f>INDEX({"Q1","Q1","Q1","Q2","Q2","Q2","Q3","Q3","Q3","Q4","Q4","Q4"},MONTH(A262))</f>
        <v/>
      </c>
    </row>
    <row r="263">
      <c r="A263" s="18" t="n"/>
      <c r="B263" s="15" t="n"/>
      <c r="K263">
        <f>TEXT(A263,"MMM-YY")</f>
        <v/>
      </c>
      <c r="L263">
        <f>HOUR(B263)</f>
        <v/>
      </c>
      <c r="M263">
        <f>IF(L263&lt;6,"Night",IF(L263&lt;12,"Morning",IF(L263&lt;18,"Afternoon","Evening")))</f>
        <v/>
      </c>
      <c r="N263">
        <f>TEXT(A263,"DDD")</f>
        <v/>
      </c>
      <c r="O263">
        <f>WEEKNUM(A263)</f>
        <v/>
      </c>
      <c r="P263">
        <f>INDEX({"Q1","Q1","Q1","Q2","Q2","Q2","Q3","Q3","Q3","Q4","Q4","Q4"},MONTH(A263))</f>
        <v/>
      </c>
    </row>
    <row r="264">
      <c r="A264" s="18" t="n"/>
      <c r="B264" s="15" t="n"/>
      <c r="K264">
        <f>TEXT(A264,"MMM-YY")</f>
        <v/>
      </c>
      <c r="L264">
        <f>HOUR(B264)</f>
        <v/>
      </c>
      <c r="M264">
        <f>IF(L264&lt;6,"Night",IF(L264&lt;12,"Morning",IF(L264&lt;18,"Afternoon","Evening")))</f>
        <v/>
      </c>
      <c r="N264">
        <f>TEXT(A264,"DDD")</f>
        <v/>
      </c>
      <c r="O264">
        <f>WEEKNUM(A264)</f>
        <v/>
      </c>
      <c r="P264">
        <f>INDEX({"Q1","Q1","Q1","Q2","Q2","Q2","Q3","Q3","Q3","Q4","Q4","Q4"},MONTH(A264))</f>
        <v/>
      </c>
    </row>
    <row r="265">
      <c r="A265" s="18" t="n"/>
      <c r="B265" s="15" t="n"/>
      <c r="K265">
        <f>TEXT(A265,"MMM-YY")</f>
        <v/>
      </c>
      <c r="L265">
        <f>HOUR(B265)</f>
        <v/>
      </c>
      <c r="M265">
        <f>IF(L265&lt;6,"Night",IF(L265&lt;12,"Morning",IF(L265&lt;18,"Afternoon","Evening")))</f>
        <v/>
      </c>
      <c r="N265">
        <f>TEXT(A265,"DDD")</f>
        <v/>
      </c>
      <c r="O265">
        <f>WEEKNUM(A265)</f>
        <v/>
      </c>
      <c r="P265">
        <f>INDEX({"Q1","Q1","Q1","Q2","Q2","Q2","Q3","Q3","Q3","Q4","Q4","Q4"},MONTH(A265))</f>
        <v/>
      </c>
    </row>
    <row r="266">
      <c r="A266" s="18" t="n"/>
      <c r="B266" s="15" t="n"/>
      <c r="K266">
        <f>TEXT(A266,"MMM-YY")</f>
        <v/>
      </c>
      <c r="L266">
        <f>HOUR(B266)</f>
        <v/>
      </c>
      <c r="M266">
        <f>IF(L266&lt;6,"Night",IF(L266&lt;12,"Morning",IF(L266&lt;18,"Afternoon","Evening")))</f>
        <v/>
      </c>
      <c r="N266">
        <f>TEXT(A266,"DDD")</f>
        <v/>
      </c>
      <c r="O266">
        <f>WEEKNUM(A266)</f>
        <v/>
      </c>
      <c r="P266">
        <f>INDEX({"Q1","Q1","Q1","Q2","Q2","Q2","Q3","Q3","Q3","Q4","Q4","Q4"},MONTH(A266))</f>
        <v/>
      </c>
    </row>
    <row r="267">
      <c r="A267" s="18" t="n"/>
      <c r="B267" s="15" t="n"/>
      <c r="K267">
        <f>TEXT(A267,"MMM-YY")</f>
        <v/>
      </c>
      <c r="L267">
        <f>HOUR(B267)</f>
        <v/>
      </c>
      <c r="M267">
        <f>IF(L267&lt;6,"Night",IF(L267&lt;12,"Morning",IF(L267&lt;18,"Afternoon","Evening")))</f>
        <v/>
      </c>
      <c r="N267">
        <f>TEXT(A267,"DDD")</f>
        <v/>
      </c>
      <c r="O267">
        <f>WEEKNUM(A267)</f>
        <v/>
      </c>
      <c r="P267">
        <f>INDEX({"Q1","Q1","Q1","Q2","Q2","Q2","Q3","Q3","Q3","Q4","Q4","Q4"},MONTH(A267))</f>
        <v/>
      </c>
    </row>
    <row r="268">
      <c r="A268" s="18" t="n"/>
      <c r="B268" s="15" t="n"/>
      <c r="K268">
        <f>TEXT(A268,"MMM-YY")</f>
        <v/>
      </c>
      <c r="L268">
        <f>HOUR(B268)</f>
        <v/>
      </c>
      <c r="M268">
        <f>IF(L268&lt;6,"Night",IF(L268&lt;12,"Morning",IF(L268&lt;18,"Afternoon","Evening")))</f>
        <v/>
      </c>
      <c r="N268">
        <f>TEXT(A268,"DDD")</f>
        <v/>
      </c>
      <c r="O268">
        <f>WEEKNUM(A268)</f>
        <v/>
      </c>
      <c r="P268">
        <f>INDEX({"Q1","Q1","Q1","Q2","Q2","Q2","Q3","Q3","Q3","Q4","Q4","Q4"},MONTH(A268))</f>
        <v/>
      </c>
    </row>
    <row r="269">
      <c r="A269" s="18" t="n"/>
      <c r="B269" s="15" t="n"/>
      <c r="K269">
        <f>TEXT(A269,"MMM-YY")</f>
        <v/>
      </c>
      <c r="L269">
        <f>HOUR(B269)</f>
        <v/>
      </c>
      <c r="M269">
        <f>IF(L269&lt;6,"Night",IF(L269&lt;12,"Morning",IF(L269&lt;18,"Afternoon","Evening")))</f>
        <v/>
      </c>
      <c r="N269">
        <f>TEXT(A269,"DDD")</f>
        <v/>
      </c>
      <c r="O269">
        <f>WEEKNUM(A269)</f>
        <v/>
      </c>
      <c r="P269">
        <f>INDEX({"Q1","Q1","Q1","Q2","Q2","Q2","Q3","Q3","Q3","Q4","Q4","Q4"},MONTH(A269))</f>
        <v/>
      </c>
    </row>
    <row r="270">
      <c r="A270" s="18" t="n"/>
      <c r="B270" s="15" t="n"/>
      <c r="K270">
        <f>TEXT(A270,"MMM-YY")</f>
        <v/>
      </c>
      <c r="L270">
        <f>HOUR(B270)</f>
        <v/>
      </c>
      <c r="M270">
        <f>IF(L270&lt;6,"Night",IF(L270&lt;12,"Morning",IF(L270&lt;18,"Afternoon","Evening")))</f>
        <v/>
      </c>
      <c r="N270">
        <f>TEXT(A270,"DDD")</f>
        <v/>
      </c>
      <c r="O270">
        <f>WEEKNUM(A270)</f>
        <v/>
      </c>
      <c r="P270">
        <f>INDEX({"Q1","Q1","Q1","Q2","Q2","Q2","Q3","Q3","Q3","Q4","Q4","Q4"},MONTH(A270))</f>
        <v/>
      </c>
    </row>
    <row r="271">
      <c r="A271" s="18" t="n"/>
      <c r="B271" s="15" t="n"/>
      <c r="K271">
        <f>TEXT(A271,"MMM-YY")</f>
        <v/>
      </c>
      <c r="L271">
        <f>HOUR(B271)</f>
        <v/>
      </c>
      <c r="M271">
        <f>IF(L271&lt;6,"Night",IF(L271&lt;12,"Morning",IF(L271&lt;18,"Afternoon","Evening")))</f>
        <v/>
      </c>
      <c r="N271">
        <f>TEXT(A271,"DDD")</f>
        <v/>
      </c>
      <c r="O271">
        <f>WEEKNUM(A271)</f>
        <v/>
      </c>
      <c r="P271">
        <f>INDEX({"Q1","Q1","Q1","Q2","Q2","Q2","Q3","Q3","Q3","Q4","Q4","Q4"},MONTH(A271))</f>
        <v/>
      </c>
    </row>
    <row r="272">
      <c r="A272" s="18" t="n"/>
      <c r="B272" s="15" t="n"/>
      <c r="K272">
        <f>TEXT(A272,"MMM-YY")</f>
        <v/>
      </c>
      <c r="L272">
        <f>HOUR(B272)</f>
        <v/>
      </c>
      <c r="M272">
        <f>IF(L272&lt;6,"Night",IF(L272&lt;12,"Morning",IF(L272&lt;18,"Afternoon","Evening")))</f>
        <v/>
      </c>
      <c r="N272">
        <f>TEXT(A272,"DDD")</f>
        <v/>
      </c>
      <c r="O272">
        <f>WEEKNUM(A272)</f>
        <v/>
      </c>
      <c r="P272">
        <f>INDEX({"Q1","Q1","Q1","Q2","Q2","Q2","Q3","Q3","Q3","Q4","Q4","Q4"},MONTH(A272))</f>
        <v/>
      </c>
    </row>
    <row r="273">
      <c r="A273" s="18" t="n"/>
      <c r="B273" s="15" t="n"/>
      <c r="K273">
        <f>TEXT(A273,"MMM-YY")</f>
        <v/>
      </c>
      <c r="L273">
        <f>HOUR(B273)</f>
        <v/>
      </c>
      <c r="M273">
        <f>IF(L273&lt;6,"Night",IF(L273&lt;12,"Morning",IF(L273&lt;18,"Afternoon","Evening")))</f>
        <v/>
      </c>
      <c r="N273">
        <f>TEXT(A273,"DDD")</f>
        <v/>
      </c>
      <c r="O273">
        <f>WEEKNUM(A273)</f>
        <v/>
      </c>
      <c r="P273">
        <f>INDEX({"Q1","Q1","Q1","Q2","Q2","Q2","Q3","Q3","Q3","Q4","Q4","Q4"},MONTH(A273))</f>
        <v/>
      </c>
    </row>
    <row r="274">
      <c r="A274" s="18" t="n"/>
      <c r="B274" s="15" t="n"/>
      <c r="K274">
        <f>TEXT(A274,"MMM-YY")</f>
        <v/>
      </c>
      <c r="L274">
        <f>HOUR(B274)</f>
        <v/>
      </c>
      <c r="M274">
        <f>IF(L274&lt;6,"Night",IF(L274&lt;12,"Morning",IF(L274&lt;18,"Afternoon","Evening")))</f>
        <v/>
      </c>
      <c r="N274">
        <f>TEXT(A274,"DDD")</f>
        <v/>
      </c>
      <c r="O274">
        <f>WEEKNUM(A274)</f>
        <v/>
      </c>
      <c r="P274">
        <f>INDEX({"Q1","Q1","Q1","Q2","Q2","Q2","Q3","Q3","Q3","Q4","Q4","Q4"},MONTH(A274))</f>
        <v/>
      </c>
    </row>
    <row r="275">
      <c r="A275" s="18" t="n"/>
      <c r="B275" s="15" t="n"/>
      <c r="K275">
        <f>TEXT(A275,"MMM-YY")</f>
        <v/>
      </c>
      <c r="L275">
        <f>HOUR(B275)</f>
        <v/>
      </c>
      <c r="M275">
        <f>IF(L275&lt;6,"Night",IF(L275&lt;12,"Morning",IF(L275&lt;18,"Afternoon","Evening")))</f>
        <v/>
      </c>
      <c r="N275">
        <f>TEXT(A275,"DDD")</f>
        <v/>
      </c>
      <c r="O275">
        <f>WEEKNUM(A275)</f>
        <v/>
      </c>
      <c r="P275">
        <f>INDEX({"Q1","Q1","Q1","Q2","Q2","Q2","Q3","Q3","Q3","Q4","Q4","Q4"},MONTH(A275))</f>
        <v/>
      </c>
    </row>
    <row r="276">
      <c r="A276" s="18" t="n"/>
      <c r="B276" s="15" t="n"/>
      <c r="K276">
        <f>TEXT(A276,"MMM-YY")</f>
        <v/>
      </c>
      <c r="L276">
        <f>HOUR(B276)</f>
        <v/>
      </c>
      <c r="M276">
        <f>IF(L276&lt;6,"Night",IF(L276&lt;12,"Morning",IF(L276&lt;18,"Afternoon","Evening")))</f>
        <v/>
      </c>
      <c r="N276">
        <f>TEXT(A276,"DDD")</f>
        <v/>
      </c>
      <c r="O276">
        <f>WEEKNUM(A276)</f>
        <v/>
      </c>
      <c r="P276">
        <f>INDEX({"Q1","Q1","Q1","Q2","Q2","Q2","Q3","Q3","Q3","Q4","Q4","Q4"},MONTH(A276))</f>
        <v/>
      </c>
    </row>
    <row r="277">
      <c r="A277" s="18" t="n"/>
      <c r="B277" s="15" t="n"/>
      <c r="K277">
        <f>TEXT(A277,"MMM-YY")</f>
        <v/>
      </c>
      <c r="L277">
        <f>HOUR(B277)</f>
        <v/>
      </c>
      <c r="M277">
        <f>IF(L277&lt;6,"Night",IF(L277&lt;12,"Morning",IF(L277&lt;18,"Afternoon","Evening")))</f>
        <v/>
      </c>
      <c r="N277">
        <f>TEXT(A277,"DDD")</f>
        <v/>
      </c>
      <c r="O277">
        <f>WEEKNUM(A277)</f>
        <v/>
      </c>
      <c r="P277">
        <f>INDEX({"Q1","Q1","Q1","Q2","Q2","Q2","Q3","Q3","Q3","Q4","Q4","Q4"},MONTH(A277))</f>
        <v/>
      </c>
    </row>
    <row r="278">
      <c r="A278" s="18" t="n"/>
      <c r="B278" s="15" t="n"/>
      <c r="K278">
        <f>TEXT(A278,"MMM-YY")</f>
        <v/>
      </c>
      <c r="L278">
        <f>HOUR(B278)</f>
        <v/>
      </c>
      <c r="M278">
        <f>IF(L278&lt;6,"Night",IF(L278&lt;12,"Morning",IF(L278&lt;18,"Afternoon","Evening")))</f>
        <v/>
      </c>
      <c r="N278">
        <f>TEXT(A278,"DDD")</f>
        <v/>
      </c>
      <c r="O278">
        <f>WEEKNUM(A278)</f>
        <v/>
      </c>
      <c r="P278">
        <f>INDEX({"Q1","Q1","Q1","Q2","Q2","Q2","Q3","Q3","Q3","Q4","Q4","Q4"},MONTH(A278))</f>
        <v/>
      </c>
    </row>
    <row r="279">
      <c r="A279" s="18" t="n"/>
      <c r="B279" s="15" t="n"/>
      <c r="K279">
        <f>TEXT(A279,"MMM-YY")</f>
        <v/>
      </c>
      <c r="L279">
        <f>HOUR(B279)</f>
        <v/>
      </c>
      <c r="M279">
        <f>IF(L279&lt;6,"Night",IF(L279&lt;12,"Morning",IF(L279&lt;18,"Afternoon","Evening")))</f>
        <v/>
      </c>
      <c r="N279">
        <f>TEXT(A279,"DDD")</f>
        <v/>
      </c>
      <c r="O279">
        <f>WEEKNUM(A279)</f>
        <v/>
      </c>
      <c r="P279">
        <f>INDEX({"Q1","Q1","Q1","Q2","Q2","Q2","Q3","Q3","Q3","Q4","Q4","Q4"},MONTH(A279))</f>
        <v/>
      </c>
    </row>
    <row r="280">
      <c r="A280" s="18" t="n"/>
      <c r="B280" s="15" t="n"/>
      <c r="K280">
        <f>TEXT(A280,"MMM-YY")</f>
        <v/>
      </c>
      <c r="L280">
        <f>HOUR(B280)</f>
        <v/>
      </c>
      <c r="M280">
        <f>IF(L280&lt;6,"Night",IF(L280&lt;12,"Morning",IF(L280&lt;18,"Afternoon","Evening")))</f>
        <v/>
      </c>
      <c r="N280">
        <f>TEXT(A280,"DDD")</f>
        <v/>
      </c>
      <c r="O280">
        <f>WEEKNUM(A280)</f>
        <v/>
      </c>
      <c r="P280">
        <f>INDEX({"Q1","Q1","Q1","Q2","Q2","Q2","Q3","Q3","Q3","Q4","Q4","Q4"},MONTH(A280))</f>
        <v/>
      </c>
    </row>
    <row r="281">
      <c r="A281" s="18" t="n"/>
      <c r="B281" s="15" t="n"/>
      <c r="K281">
        <f>TEXT(A281,"MMM-YY")</f>
        <v/>
      </c>
      <c r="L281">
        <f>HOUR(B281)</f>
        <v/>
      </c>
      <c r="M281">
        <f>IF(L281&lt;6,"Night",IF(L281&lt;12,"Morning",IF(L281&lt;18,"Afternoon","Evening")))</f>
        <v/>
      </c>
      <c r="N281">
        <f>TEXT(A281,"DDD")</f>
        <v/>
      </c>
      <c r="O281">
        <f>WEEKNUM(A281)</f>
        <v/>
      </c>
      <c r="P281">
        <f>INDEX({"Q1","Q1","Q1","Q2","Q2","Q2","Q3","Q3","Q3","Q4","Q4","Q4"},MONTH(A281))</f>
        <v/>
      </c>
    </row>
    <row r="282">
      <c r="A282" s="18" t="n"/>
      <c r="B282" s="15" t="n"/>
      <c r="K282">
        <f>TEXT(A282,"MMM-YY")</f>
        <v/>
      </c>
      <c r="L282">
        <f>HOUR(B282)</f>
        <v/>
      </c>
      <c r="M282">
        <f>IF(L282&lt;6,"Night",IF(L282&lt;12,"Morning",IF(L282&lt;18,"Afternoon","Evening")))</f>
        <v/>
      </c>
      <c r="N282">
        <f>TEXT(A282,"DDD")</f>
        <v/>
      </c>
      <c r="O282">
        <f>WEEKNUM(A282)</f>
        <v/>
      </c>
      <c r="P282">
        <f>INDEX({"Q1","Q1","Q1","Q2","Q2","Q2","Q3","Q3","Q3","Q4","Q4","Q4"},MONTH(A282))</f>
        <v/>
      </c>
    </row>
    <row r="283">
      <c r="A283" s="18" t="n"/>
      <c r="B283" s="15" t="n"/>
      <c r="K283">
        <f>TEXT(A283,"MMM-YY")</f>
        <v/>
      </c>
      <c r="L283">
        <f>HOUR(B283)</f>
        <v/>
      </c>
      <c r="M283">
        <f>IF(L283&lt;6,"Night",IF(L283&lt;12,"Morning",IF(L283&lt;18,"Afternoon","Evening")))</f>
        <v/>
      </c>
      <c r="N283">
        <f>TEXT(A283,"DDD")</f>
        <v/>
      </c>
      <c r="O283">
        <f>WEEKNUM(A283)</f>
        <v/>
      </c>
      <c r="P283">
        <f>INDEX({"Q1","Q1","Q1","Q2","Q2","Q2","Q3","Q3","Q3","Q4","Q4","Q4"},MONTH(A283))</f>
        <v/>
      </c>
    </row>
    <row r="284">
      <c r="A284" s="18" t="n"/>
      <c r="B284" s="15" t="n"/>
      <c r="K284">
        <f>TEXT(A284,"MMM-YY")</f>
        <v/>
      </c>
      <c r="L284">
        <f>HOUR(B284)</f>
        <v/>
      </c>
      <c r="M284">
        <f>IF(L284&lt;6,"Night",IF(L284&lt;12,"Morning",IF(L284&lt;18,"Afternoon","Evening")))</f>
        <v/>
      </c>
      <c r="N284">
        <f>TEXT(A284,"DDD")</f>
        <v/>
      </c>
      <c r="O284">
        <f>WEEKNUM(A284)</f>
        <v/>
      </c>
      <c r="P284">
        <f>INDEX({"Q1","Q1","Q1","Q2","Q2","Q2","Q3","Q3","Q3","Q4","Q4","Q4"},MONTH(A284))</f>
        <v/>
      </c>
    </row>
    <row r="285">
      <c r="A285" s="18" t="n"/>
      <c r="B285" s="15" t="n"/>
      <c r="K285">
        <f>TEXT(A285,"MMM-YY")</f>
        <v/>
      </c>
      <c r="L285">
        <f>HOUR(B285)</f>
        <v/>
      </c>
      <c r="M285">
        <f>IF(L285&lt;6,"Night",IF(L285&lt;12,"Morning",IF(L285&lt;18,"Afternoon","Evening")))</f>
        <v/>
      </c>
      <c r="N285">
        <f>TEXT(A285,"DDD")</f>
        <v/>
      </c>
      <c r="O285">
        <f>WEEKNUM(A285)</f>
        <v/>
      </c>
      <c r="P285">
        <f>INDEX({"Q1","Q1","Q1","Q2","Q2","Q2","Q3","Q3","Q3","Q4","Q4","Q4"},MONTH(A285))</f>
        <v/>
      </c>
    </row>
    <row r="286">
      <c r="A286" s="18" t="n"/>
      <c r="B286" s="15" t="n"/>
      <c r="K286">
        <f>TEXT(A286,"MMM-YY")</f>
        <v/>
      </c>
      <c r="L286">
        <f>HOUR(B286)</f>
        <v/>
      </c>
      <c r="M286">
        <f>IF(L286&lt;6,"Night",IF(L286&lt;12,"Morning",IF(L286&lt;18,"Afternoon","Evening")))</f>
        <v/>
      </c>
      <c r="N286">
        <f>TEXT(A286,"DDD")</f>
        <v/>
      </c>
      <c r="O286">
        <f>WEEKNUM(A286)</f>
        <v/>
      </c>
      <c r="P286">
        <f>INDEX({"Q1","Q1","Q1","Q2","Q2","Q2","Q3","Q3","Q3","Q4","Q4","Q4"},MONTH(A286))</f>
        <v/>
      </c>
    </row>
    <row r="287">
      <c r="A287" s="18" t="n"/>
      <c r="B287" s="15" t="n"/>
      <c r="K287">
        <f>TEXT(A287,"MMM-YY")</f>
        <v/>
      </c>
      <c r="L287">
        <f>HOUR(B287)</f>
        <v/>
      </c>
      <c r="M287">
        <f>IF(L287&lt;6,"Night",IF(L287&lt;12,"Morning",IF(L287&lt;18,"Afternoon","Evening")))</f>
        <v/>
      </c>
      <c r="N287">
        <f>TEXT(A287,"DDD")</f>
        <v/>
      </c>
      <c r="O287">
        <f>WEEKNUM(A287)</f>
        <v/>
      </c>
      <c r="P287">
        <f>INDEX({"Q1","Q1","Q1","Q2","Q2","Q2","Q3","Q3","Q3","Q4","Q4","Q4"},MONTH(A287))</f>
        <v/>
      </c>
    </row>
    <row r="288">
      <c r="A288" s="18" t="n"/>
      <c r="B288" s="15" t="n"/>
      <c r="K288">
        <f>TEXT(A288,"MMM-YY")</f>
        <v/>
      </c>
      <c r="L288">
        <f>HOUR(B288)</f>
        <v/>
      </c>
      <c r="M288">
        <f>IF(L288&lt;6,"Night",IF(L288&lt;12,"Morning",IF(L288&lt;18,"Afternoon","Evening")))</f>
        <v/>
      </c>
      <c r="N288">
        <f>TEXT(A288,"DDD")</f>
        <v/>
      </c>
      <c r="O288">
        <f>WEEKNUM(A288)</f>
        <v/>
      </c>
      <c r="P288">
        <f>INDEX({"Q1","Q1","Q1","Q2","Q2","Q2","Q3","Q3","Q3","Q4","Q4","Q4"},MONTH(A288))</f>
        <v/>
      </c>
    </row>
    <row r="289">
      <c r="A289" s="18" t="n"/>
      <c r="B289" s="15" t="n"/>
      <c r="K289">
        <f>TEXT(A289,"MMM-YY")</f>
        <v/>
      </c>
      <c r="L289">
        <f>HOUR(B289)</f>
        <v/>
      </c>
      <c r="M289">
        <f>IF(L289&lt;6,"Night",IF(L289&lt;12,"Morning",IF(L289&lt;18,"Afternoon","Evening")))</f>
        <v/>
      </c>
      <c r="N289">
        <f>TEXT(A289,"DDD")</f>
        <v/>
      </c>
      <c r="O289">
        <f>WEEKNUM(A289)</f>
        <v/>
      </c>
      <c r="P289">
        <f>INDEX({"Q1","Q1","Q1","Q2","Q2","Q2","Q3","Q3","Q3","Q4","Q4","Q4"},MONTH(A289))</f>
        <v/>
      </c>
    </row>
    <row r="290">
      <c r="A290" s="18" t="n"/>
      <c r="B290" s="15" t="n"/>
      <c r="K290">
        <f>TEXT(A290,"MMM-YY")</f>
        <v/>
      </c>
      <c r="L290">
        <f>HOUR(B290)</f>
        <v/>
      </c>
      <c r="M290">
        <f>IF(L290&lt;6,"Night",IF(L290&lt;12,"Morning",IF(L290&lt;18,"Afternoon","Evening")))</f>
        <v/>
      </c>
      <c r="N290">
        <f>TEXT(A290,"DDD")</f>
        <v/>
      </c>
      <c r="O290">
        <f>WEEKNUM(A290)</f>
        <v/>
      </c>
      <c r="P290">
        <f>INDEX({"Q1","Q1","Q1","Q2","Q2","Q2","Q3","Q3","Q3","Q4","Q4","Q4"},MONTH(A290))</f>
        <v/>
      </c>
    </row>
    <row r="291">
      <c r="A291" s="18" t="n"/>
      <c r="B291" s="15" t="n"/>
      <c r="K291">
        <f>TEXT(A291,"MMM-YY")</f>
        <v/>
      </c>
      <c r="L291">
        <f>HOUR(B291)</f>
        <v/>
      </c>
      <c r="M291">
        <f>IF(L291&lt;6,"Night",IF(L291&lt;12,"Morning",IF(L291&lt;18,"Afternoon","Evening")))</f>
        <v/>
      </c>
      <c r="N291">
        <f>TEXT(A291,"DDD")</f>
        <v/>
      </c>
      <c r="O291">
        <f>WEEKNUM(A291)</f>
        <v/>
      </c>
      <c r="P291">
        <f>INDEX({"Q1","Q1","Q1","Q2","Q2","Q2","Q3","Q3","Q3","Q4","Q4","Q4"},MONTH(A291))</f>
        <v/>
      </c>
    </row>
    <row r="292">
      <c r="A292" s="18" t="n"/>
      <c r="B292" s="15" t="n"/>
      <c r="K292">
        <f>TEXT(A292,"MMM-YY")</f>
        <v/>
      </c>
      <c r="L292">
        <f>HOUR(B292)</f>
        <v/>
      </c>
      <c r="M292">
        <f>IF(L292&lt;6,"Night",IF(L292&lt;12,"Morning",IF(L292&lt;18,"Afternoon","Evening")))</f>
        <v/>
      </c>
      <c r="N292">
        <f>TEXT(A292,"DDD")</f>
        <v/>
      </c>
      <c r="O292">
        <f>WEEKNUM(A292)</f>
        <v/>
      </c>
      <c r="P292">
        <f>INDEX({"Q1","Q1","Q1","Q2","Q2","Q2","Q3","Q3","Q3","Q4","Q4","Q4"},MONTH(A292))</f>
        <v/>
      </c>
    </row>
    <row r="293">
      <c r="A293" s="18" t="n"/>
      <c r="B293" s="15" t="n"/>
      <c r="K293">
        <f>TEXT(A293,"MMM-YY")</f>
        <v/>
      </c>
      <c r="L293">
        <f>HOUR(B293)</f>
        <v/>
      </c>
      <c r="M293">
        <f>IF(L293&lt;6,"Night",IF(L293&lt;12,"Morning",IF(L293&lt;18,"Afternoon","Evening")))</f>
        <v/>
      </c>
      <c r="N293">
        <f>TEXT(A293,"DDD")</f>
        <v/>
      </c>
      <c r="O293">
        <f>WEEKNUM(A293)</f>
        <v/>
      </c>
      <c r="P293">
        <f>INDEX({"Q1","Q1","Q1","Q2","Q2","Q2","Q3","Q3","Q3","Q4","Q4","Q4"},MONTH(A293))</f>
        <v/>
      </c>
    </row>
    <row r="294">
      <c r="A294" s="18" t="n"/>
      <c r="B294" s="15" t="n"/>
      <c r="K294">
        <f>TEXT(A294,"MMM-YY")</f>
        <v/>
      </c>
      <c r="L294">
        <f>HOUR(B294)</f>
        <v/>
      </c>
      <c r="M294">
        <f>IF(L294&lt;6,"Night",IF(L294&lt;12,"Morning",IF(L294&lt;18,"Afternoon","Evening")))</f>
        <v/>
      </c>
      <c r="N294">
        <f>TEXT(A294,"DDD")</f>
        <v/>
      </c>
      <c r="O294">
        <f>WEEKNUM(A294)</f>
        <v/>
      </c>
      <c r="P294">
        <f>INDEX({"Q1","Q1","Q1","Q2","Q2","Q2","Q3","Q3","Q3","Q4","Q4","Q4"},MONTH(A294))</f>
        <v/>
      </c>
    </row>
    <row r="295">
      <c r="A295" s="18" t="n"/>
      <c r="B295" s="15" t="n"/>
      <c r="K295">
        <f>TEXT(A295,"MMM-YY")</f>
        <v/>
      </c>
      <c r="L295">
        <f>HOUR(B295)</f>
        <v/>
      </c>
      <c r="M295">
        <f>IF(L295&lt;6,"Night",IF(L295&lt;12,"Morning",IF(L295&lt;18,"Afternoon","Evening")))</f>
        <v/>
      </c>
      <c r="N295">
        <f>TEXT(A295,"DDD")</f>
        <v/>
      </c>
      <c r="O295">
        <f>WEEKNUM(A295)</f>
        <v/>
      </c>
      <c r="P295">
        <f>INDEX({"Q1","Q1","Q1","Q2","Q2","Q2","Q3","Q3","Q3","Q4","Q4","Q4"},MONTH(A295))</f>
        <v/>
      </c>
    </row>
    <row r="296">
      <c r="A296" s="18" t="n"/>
      <c r="B296" s="15" t="n"/>
      <c r="K296">
        <f>TEXT(A296,"MMM-YY")</f>
        <v/>
      </c>
      <c r="L296">
        <f>HOUR(B296)</f>
        <v/>
      </c>
      <c r="M296">
        <f>IF(L296&lt;6,"Night",IF(L296&lt;12,"Morning",IF(L296&lt;18,"Afternoon","Evening")))</f>
        <v/>
      </c>
      <c r="N296">
        <f>TEXT(A296,"DDD")</f>
        <v/>
      </c>
      <c r="O296">
        <f>WEEKNUM(A296)</f>
        <v/>
      </c>
      <c r="P296">
        <f>INDEX({"Q1","Q1","Q1","Q2","Q2","Q2","Q3","Q3","Q3","Q4","Q4","Q4"},MONTH(A296))</f>
        <v/>
      </c>
    </row>
    <row r="297">
      <c r="A297" s="18" t="n"/>
      <c r="B297" s="15" t="n"/>
      <c r="K297">
        <f>TEXT(A297,"MMM-YY")</f>
        <v/>
      </c>
      <c r="L297">
        <f>HOUR(B297)</f>
        <v/>
      </c>
      <c r="M297">
        <f>IF(L297&lt;6,"Night",IF(L297&lt;12,"Morning",IF(L297&lt;18,"Afternoon","Evening")))</f>
        <v/>
      </c>
      <c r="N297">
        <f>TEXT(A297,"DDD")</f>
        <v/>
      </c>
      <c r="O297">
        <f>WEEKNUM(A297)</f>
        <v/>
      </c>
      <c r="P297">
        <f>INDEX({"Q1","Q1","Q1","Q2","Q2","Q2","Q3","Q3","Q3","Q4","Q4","Q4"},MONTH(A297))</f>
        <v/>
      </c>
    </row>
    <row r="298">
      <c r="A298" s="18" t="n"/>
      <c r="B298" s="15" t="n"/>
      <c r="K298">
        <f>TEXT(A298,"MMM-YY")</f>
        <v/>
      </c>
      <c r="L298">
        <f>HOUR(B298)</f>
        <v/>
      </c>
      <c r="M298">
        <f>IF(L298&lt;6,"Night",IF(L298&lt;12,"Morning",IF(L298&lt;18,"Afternoon","Evening")))</f>
        <v/>
      </c>
      <c r="N298">
        <f>TEXT(A298,"DDD")</f>
        <v/>
      </c>
      <c r="O298">
        <f>WEEKNUM(A298)</f>
        <v/>
      </c>
      <c r="P298">
        <f>INDEX({"Q1","Q1","Q1","Q2","Q2","Q2","Q3","Q3","Q3","Q4","Q4","Q4"},MONTH(A298))</f>
        <v/>
      </c>
    </row>
    <row r="299">
      <c r="A299" s="18" t="n"/>
      <c r="B299" s="15" t="n"/>
      <c r="K299">
        <f>TEXT(A299,"MMM-YY")</f>
        <v/>
      </c>
      <c r="L299">
        <f>HOUR(B299)</f>
        <v/>
      </c>
      <c r="M299">
        <f>IF(L299&lt;6,"Night",IF(L299&lt;12,"Morning",IF(L299&lt;18,"Afternoon","Evening")))</f>
        <v/>
      </c>
      <c r="N299">
        <f>TEXT(A299,"DDD")</f>
        <v/>
      </c>
      <c r="O299">
        <f>WEEKNUM(A299)</f>
        <v/>
      </c>
      <c r="P299">
        <f>INDEX({"Q1","Q1","Q1","Q2","Q2","Q2","Q3","Q3","Q3","Q4","Q4","Q4"},MONTH(A299))</f>
        <v/>
      </c>
    </row>
    <row r="300">
      <c r="A300" s="18" t="n"/>
      <c r="B300" s="15" t="n"/>
      <c r="K300">
        <f>TEXT(A300,"MMM-YY")</f>
        <v/>
      </c>
      <c r="L300">
        <f>HOUR(B300)</f>
        <v/>
      </c>
      <c r="M300">
        <f>IF(L300&lt;6,"Night",IF(L300&lt;12,"Morning",IF(L300&lt;18,"Afternoon","Evening")))</f>
        <v/>
      </c>
      <c r="N300">
        <f>TEXT(A300,"DDD")</f>
        <v/>
      </c>
      <c r="O300">
        <f>WEEKNUM(A300)</f>
        <v/>
      </c>
      <c r="P300">
        <f>INDEX({"Q1","Q1","Q1","Q2","Q2","Q2","Q3","Q3","Q3","Q4","Q4","Q4"},MONTH(A300))</f>
        <v/>
      </c>
    </row>
    <row r="301">
      <c r="A301" s="18" t="n"/>
      <c r="B301" s="15" t="n"/>
      <c r="K301">
        <f>TEXT(A301,"MMM-YY")</f>
        <v/>
      </c>
      <c r="L301">
        <f>HOUR(B301)</f>
        <v/>
      </c>
      <c r="M301">
        <f>IF(L301&lt;6,"Night",IF(L301&lt;12,"Morning",IF(L301&lt;18,"Afternoon","Evening")))</f>
        <v/>
      </c>
      <c r="N301">
        <f>TEXT(A301,"DDD")</f>
        <v/>
      </c>
      <c r="O301">
        <f>WEEKNUM(A301)</f>
        <v/>
      </c>
      <c r="P301">
        <f>INDEX({"Q1","Q1","Q1","Q2","Q2","Q2","Q3","Q3","Q3","Q4","Q4","Q4"},MONTH(A301))</f>
        <v/>
      </c>
    </row>
    <row r="302">
      <c r="A302" s="18" t="n"/>
      <c r="B302" s="15" t="n"/>
      <c r="K302">
        <f>TEXT(A302,"MMM-YY")</f>
        <v/>
      </c>
      <c r="L302">
        <f>HOUR(B302)</f>
        <v/>
      </c>
      <c r="M302">
        <f>IF(L302&lt;6,"Night",IF(L302&lt;12,"Morning",IF(L302&lt;18,"Afternoon","Evening")))</f>
        <v/>
      </c>
      <c r="N302">
        <f>TEXT(A302,"DDD")</f>
        <v/>
      </c>
      <c r="O302">
        <f>WEEKNUM(A302)</f>
        <v/>
      </c>
      <c r="P302">
        <f>INDEX({"Q1","Q1","Q1","Q2","Q2","Q2","Q3","Q3","Q3","Q4","Q4","Q4"},MONTH(A302))</f>
        <v/>
      </c>
    </row>
    <row r="303">
      <c r="A303" s="18" t="n"/>
      <c r="B303" s="15" t="n"/>
      <c r="K303">
        <f>TEXT(A303,"MMM-YY")</f>
        <v/>
      </c>
      <c r="L303">
        <f>HOUR(B303)</f>
        <v/>
      </c>
      <c r="M303">
        <f>IF(L303&lt;6,"Night",IF(L303&lt;12,"Morning",IF(L303&lt;18,"Afternoon","Evening")))</f>
        <v/>
      </c>
      <c r="N303">
        <f>TEXT(A303,"DDD")</f>
        <v/>
      </c>
      <c r="O303">
        <f>WEEKNUM(A303)</f>
        <v/>
      </c>
      <c r="P303">
        <f>INDEX({"Q1","Q1","Q1","Q2","Q2","Q2","Q3","Q3","Q3","Q4","Q4","Q4"},MONTH(A303))</f>
        <v/>
      </c>
    </row>
    <row r="304">
      <c r="A304" s="18" t="n"/>
      <c r="B304" s="15" t="n"/>
      <c r="K304">
        <f>TEXT(A304,"MMM-YY")</f>
        <v/>
      </c>
      <c r="L304">
        <f>HOUR(B304)</f>
        <v/>
      </c>
      <c r="M304">
        <f>IF(L304&lt;6,"Night",IF(L304&lt;12,"Morning",IF(L304&lt;18,"Afternoon","Evening")))</f>
        <v/>
      </c>
      <c r="N304">
        <f>TEXT(A304,"DDD")</f>
        <v/>
      </c>
      <c r="O304">
        <f>WEEKNUM(A304)</f>
        <v/>
      </c>
      <c r="P304">
        <f>INDEX({"Q1","Q1","Q1","Q2","Q2","Q2","Q3","Q3","Q3","Q4","Q4","Q4"},MONTH(A304))</f>
        <v/>
      </c>
    </row>
    <row r="305">
      <c r="A305" s="18" t="n"/>
      <c r="B305" s="15" t="n"/>
      <c r="K305">
        <f>TEXT(A305,"MMM-YY")</f>
        <v/>
      </c>
      <c r="L305">
        <f>HOUR(B305)</f>
        <v/>
      </c>
      <c r="M305">
        <f>IF(L305&lt;6,"Night",IF(L305&lt;12,"Morning",IF(L305&lt;18,"Afternoon","Evening")))</f>
        <v/>
      </c>
      <c r="N305">
        <f>TEXT(A305,"DDD")</f>
        <v/>
      </c>
      <c r="O305">
        <f>WEEKNUM(A305)</f>
        <v/>
      </c>
      <c r="P305">
        <f>INDEX({"Q1","Q1","Q1","Q2","Q2","Q2","Q3","Q3","Q3","Q4","Q4","Q4"},MONTH(A305))</f>
        <v/>
      </c>
    </row>
    <row r="306">
      <c r="A306" s="18" t="n"/>
      <c r="B306" s="15" t="n"/>
      <c r="K306">
        <f>TEXT(A306,"MMM-YY")</f>
        <v/>
      </c>
      <c r="L306">
        <f>HOUR(B306)</f>
        <v/>
      </c>
      <c r="M306">
        <f>IF(L306&lt;6,"Night",IF(L306&lt;12,"Morning",IF(L306&lt;18,"Afternoon","Evening")))</f>
        <v/>
      </c>
      <c r="N306">
        <f>TEXT(A306,"DDD")</f>
        <v/>
      </c>
      <c r="O306">
        <f>WEEKNUM(A306)</f>
        <v/>
      </c>
      <c r="P306">
        <f>INDEX({"Q1","Q1","Q1","Q2","Q2","Q2","Q3","Q3","Q3","Q4","Q4","Q4"},MONTH(A306))</f>
        <v/>
      </c>
    </row>
    <row r="307">
      <c r="A307" s="18" t="n"/>
      <c r="B307" s="15" t="n"/>
      <c r="K307">
        <f>TEXT(A307,"MMM-YY")</f>
        <v/>
      </c>
      <c r="L307">
        <f>HOUR(B307)</f>
        <v/>
      </c>
      <c r="M307">
        <f>IF(L307&lt;6,"Night",IF(L307&lt;12,"Morning",IF(L307&lt;18,"Afternoon","Evening")))</f>
        <v/>
      </c>
      <c r="N307">
        <f>TEXT(A307,"DDD")</f>
        <v/>
      </c>
      <c r="O307">
        <f>WEEKNUM(A307)</f>
        <v/>
      </c>
      <c r="P307">
        <f>INDEX({"Q1","Q1","Q1","Q2","Q2","Q2","Q3","Q3","Q3","Q4","Q4","Q4"},MONTH(A307))</f>
        <v/>
      </c>
    </row>
    <row r="308">
      <c r="A308" s="18" t="n"/>
      <c r="B308" s="15" t="n"/>
      <c r="K308">
        <f>TEXT(A308,"MMM-YY")</f>
        <v/>
      </c>
      <c r="L308">
        <f>HOUR(B308)</f>
        <v/>
      </c>
      <c r="M308">
        <f>IF(L308&lt;6,"Night",IF(L308&lt;12,"Morning",IF(L308&lt;18,"Afternoon","Evening")))</f>
        <v/>
      </c>
      <c r="N308">
        <f>TEXT(A308,"DDD")</f>
        <v/>
      </c>
      <c r="O308">
        <f>WEEKNUM(A308)</f>
        <v/>
      </c>
      <c r="P308">
        <f>INDEX({"Q1","Q1","Q1","Q2","Q2","Q2","Q3","Q3","Q3","Q4","Q4","Q4"},MONTH(A308))</f>
        <v/>
      </c>
    </row>
    <row r="309">
      <c r="A309" s="18" t="n"/>
      <c r="B309" s="15" t="n"/>
      <c r="K309">
        <f>TEXT(A309,"MMM-YY")</f>
        <v/>
      </c>
      <c r="L309">
        <f>HOUR(B309)</f>
        <v/>
      </c>
      <c r="M309">
        <f>IF(L309&lt;6,"Night",IF(L309&lt;12,"Morning",IF(L309&lt;18,"Afternoon","Evening")))</f>
        <v/>
      </c>
      <c r="N309">
        <f>TEXT(A309,"DDD")</f>
        <v/>
      </c>
      <c r="O309">
        <f>WEEKNUM(A309)</f>
        <v/>
      </c>
      <c r="P309">
        <f>INDEX({"Q1","Q1","Q1","Q2","Q2","Q2","Q3","Q3","Q3","Q4","Q4","Q4"},MONTH(A309))</f>
        <v/>
      </c>
    </row>
    <row r="310">
      <c r="A310" s="18" t="n"/>
      <c r="B310" s="15" t="n"/>
      <c r="K310">
        <f>TEXT(A310,"MMM-YY")</f>
        <v/>
      </c>
      <c r="L310">
        <f>HOUR(B310)</f>
        <v/>
      </c>
      <c r="M310">
        <f>IF(L310&lt;6,"Night",IF(L310&lt;12,"Morning",IF(L310&lt;18,"Afternoon","Evening")))</f>
        <v/>
      </c>
      <c r="N310">
        <f>TEXT(A310,"DDD")</f>
        <v/>
      </c>
      <c r="O310">
        <f>WEEKNUM(A310)</f>
        <v/>
      </c>
      <c r="P310">
        <f>INDEX({"Q1","Q1","Q1","Q2","Q2","Q2","Q3","Q3","Q3","Q4","Q4","Q4"},MONTH(A310))</f>
        <v/>
      </c>
    </row>
    <row r="311">
      <c r="A311" s="18" t="n"/>
      <c r="B311" s="15" t="n"/>
      <c r="K311">
        <f>TEXT(A311,"MMM-YY")</f>
        <v/>
      </c>
      <c r="L311">
        <f>HOUR(B311)</f>
        <v/>
      </c>
      <c r="M311">
        <f>IF(L311&lt;6,"Night",IF(L311&lt;12,"Morning",IF(L311&lt;18,"Afternoon","Evening")))</f>
        <v/>
      </c>
      <c r="N311">
        <f>TEXT(A311,"DDD")</f>
        <v/>
      </c>
      <c r="O311">
        <f>WEEKNUM(A311)</f>
        <v/>
      </c>
      <c r="P311">
        <f>INDEX({"Q1","Q1","Q1","Q2","Q2","Q2","Q3","Q3","Q3","Q4","Q4","Q4"},MONTH(A311))</f>
        <v/>
      </c>
    </row>
    <row r="312">
      <c r="A312" s="18" t="n"/>
      <c r="B312" s="15" t="n"/>
      <c r="K312">
        <f>TEXT(A312,"MMM-YY")</f>
        <v/>
      </c>
      <c r="L312">
        <f>HOUR(B312)</f>
        <v/>
      </c>
      <c r="M312">
        <f>IF(L312&lt;6,"Night",IF(L312&lt;12,"Morning",IF(L312&lt;18,"Afternoon","Evening")))</f>
        <v/>
      </c>
      <c r="N312">
        <f>TEXT(A312,"DDD")</f>
        <v/>
      </c>
      <c r="O312">
        <f>WEEKNUM(A312)</f>
        <v/>
      </c>
      <c r="P312">
        <f>INDEX({"Q1","Q1","Q1","Q2","Q2","Q2","Q3","Q3","Q3","Q4","Q4","Q4"},MONTH(A312))</f>
        <v/>
      </c>
    </row>
    <row r="313">
      <c r="A313" s="18" t="n"/>
      <c r="B313" s="15" t="n"/>
      <c r="K313">
        <f>TEXT(A313,"MMM-YY")</f>
        <v/>
      </c>
      <c r="L313">
        <f>HOUR(B313)</f>
        <v/>
      </c>
      <c r="M313">
        <f>IF(L313&lt;6,"Night",IF(L313&lt;12,"Morning",IF(L313&lt;18,"Afternoon","Evening")))</f>
        <v/>
      </c>
      <c r="N313">
        <f>TEXT(A313,"DDD")</f>
        <v/>
      </c>
      <c r="O313">
        <f>WEEKNUM(A313)</f>
        <v/>
      </c>
      <c r="P313">
        <f>INDEX({"Q1","Q1","Q1","Q2","Q2","Q2","Q3","Q3","Q3","Q4","Q4","Q4"},MONTH(A313))</f>
        <v/>
      </c>
    </row>
    <row r="314">
      <c r="A314" s="18" t="n"/>
      <c r="B314" s="15" t="n"/>
      <c r="K314">
        <f>TEXT(A314,"MMM-YY")</f>
        <v/>
      </c>
      <c r="L314">
        <f>HOUR(B314)</f>
        <v/>
      </c>
      <c r="M314">
        <f>IF(L314&lt;6,"Night",IF(L314&lt;12,"Morning",IF(L314&lt;18,"Afternoon","Evening")))</f>
        <v/>
      </c>
      <c r="N314">
        <f>TEXT(A314,"DDD")</f>
        <v/>
      </c>
      <c r="O314">
        <f>WEEKNUM(A314)</f>
        <v/>
      </c>
      <c r="P314">
        <f>INDEX({"Q1","Q1","Q1","Q2","Q2","Q2","Q3","Q3","Q3","Q4","Q4","Q4"},MONTH(A314))</f>
        <v/>
      </c>
    </row>
    <row r="315">
      <c r="A315" s="18" t="n"/>
      <c r="B315" s="15" t="n"/>
      <c r="K315">
        <f>TEXT(A315,"MMM-YY")</f>
        <v/>
      </c>
      <c r="L315">
        <f>HOUR(B315)</f>
        <v/>
      </c>
      <c r="M315">
        <f>IF(L315&lt;6,"Night",IF(L315&lt;12,"Morning",IF(L315&lt;18,"Afternoon","Evening")))</f>
        <v/>
      </c>
      <c r="N315">
        <f>TEXT(A315,"DDD")</f>
        <v/>
      </c>
      <c r="O315">
        <f>WEEKNUM(A315)</f>
        <v/>
      </c>
      <c r="P315">
        <f>INDEX({"Q1","Q1","Q1","Q2","Q2","Q2","Q3","Q3","Q3","Q4","Q4","Q4"},MONTH(A315))</f>
        <v/>
      </c>
    </row>
    <row r="316">
      <c r="A316" s="18" t="n"/>
      <c r="B316" s="15" t="n"/>
      <c r="K316">
        <f>TEXT(A316,"MMM-YY")</f>
        <v/>
      </c>
      <c r="L316">
        <f>HOUR(B316)</f>
        <v/>
      </c>
      <c r="M316">
        <f>IF(L316&lt;6,"Night",IF(L316&lt;12,"Morning",IF(L316&lt;18,"Afternoon","Evening")))</f>
        <v/>
      </c>
      <c r="N316">
        <f>TEXT(A316,"DDD")</f>
        <v/>
      </c>
      <c r="O316">
        <f>WEEKNUM(A316)</f>
        <v/>
      </c>
      <c r="P316">
        <f>INDEX({"Q1","Q1","Q1","Q2","Q2","Q2","Q3","Q3","Q3","Q4","Q4","Q4"},MONTH(A316))</f>
        <v/>
      </c>
    </row>
    <row r="317">
      <c r="A317" s="18" t="n"/>
      <c r="B317" s="15" t="n"/>
      <c r="K317">
        <f>TEXT(A317,"MMM-YY")</f>
        <v/>
      </c>
      <c r="L317">
        <f>HOUR(B317)</f>
        <v/>
      </c>
      <c r="M317">
        <f>IF(L317&lt;6,"Night",IF(L317&lt;12,"Morning",IF(L317&lt;18,"Afternoon","Evening")))</f>
        <v/>
      </c>
      <c r="N317">
        <f>TEXT(A317,"DDD")</f>
        <v/>
      </c>
      <c r="O317">
        <f>WEEKNUM(A317)</f>
        <v/>
      </c>
      <c r="P317">
        <f>INDEX({"Q1","Q1","Q1","Q2","Q2","Q2","Q3","Q3","Q3","Q4","Q4","Q4"},MONTH(A317))</f>
        <v/>
      </c>
    </row>
    <row r="318">
      <c r="A318" s="18" t="n"/>
      <c r="B318" s="15" t="n"/>
      <c r="K318">
        <f>TEXT(A318,"MMM-YY")</f>
        <v/>
      </c>
      <c r="L318">
        <f>HOUR(B318)</f>
        <v/>
      </c>
      <c r="M318">
        <f>IF(L318&lt;6,"Night",IF(L318&lt;12,"Morning",IF(L318&lt;18,"Afternoon","Evening")))</f>
        <v/>
      </c>
      <c r="N318">
        <f>TEXT(A318,"DDD")</f>
        <v/>
      </c>
      <c r="O318">
        <f>WEEKNUM(A318)</f>
        <v/>
      </c>
      <c r="P318">
        <f>INDEX({"Q1","Q1","Q1","Q2","Q2","Q2","Q3","Q3","Q3","Q4","Q4","Q4"},MONTH(A318))</f>
        <v/>
      </c>
    </row>
    <row r="319">
      <c r="A319" s="18" t="n"/>
      <c r="B319" s="15" t="n"/>
      <c r="K319">
        <f>TEXT(A319,"MMM-YY")</f>
        <v/>
      </c>
      <c r="L319">
        <f>HOUR(B319)</f>
        <v/>
      </c>
      <c r="M319">
        <f>IF(L319&lt;6,"Night",IF(L319&lt;12,"Morning",IF(L319&lt;18,"Afternoon","Evening")))</f>
        <v/>
      </c>
      <c r="N319">
        <f>TEXT(A319,"DDD")</f>
        <v/>
      </c>
      <c r="O319">
        <f>WEEKNUM(A319)</f>
        <v/>
      </c>
      <c r="P319">
        <f>INDEX({"Q1","Q1","Q1","Q2","Q2","Q2","Q3","Q3","Q3","Q4","Q4","Q4"},MONTH(A319))</f>
        <v/>
      </c>
    </row>
    <row r="320">
      <c r="A320" s="18" t="n"/>
      <c r="B320" s="15" t="n"/>
      <c r="K320">
        <f>TEXT(A320,"MMM-YY")</f>
        <v/>
      </c>
      <c r="L320">
        <f>HOUR(B320)</f>
        <v/>
      </c>
      <c r="M320">
        <f>IF(L320&lt;6,"Night",IF(L320&lt;12,"Morning",IF(L320&lt;18,"Afternoon","Evening")))</f>
        <v/>
      </c>
      <c r="N320">
        <f>TEXT(A320,"DDD")</f>
        <v/>
      </c>
      <c r="O320">
        <f>WEEKNUM(A320)</f>
        <v/>
      </c>
      <c r="P320">
        <f>INDEX({"Q1","Q1","Q1","Q2","Q2","Q2","Q3","Q3","Q3","Q4","Q4","Q4"},MONTH(A320))</f>
        <v/>
      </c>
    </row>
    <row r="321">
      <c r="A321" s="18" t="n"/>
      <c r="B321" s="15" t="n"/>
      <c r="K321">
        <f>TEXT(A321,"MMM-YY")</f>
        <v/>
      </c>
      <c r="L321">
        <f>HOUR(B321)</f>
        <v/>
      </c>
      <c r="M321">
        <f>IF(L321&lt;6,"Night",IF(L321&lt;12,"Morning",IF(L321&lt;18,"Afternoon","Evening")))</f>
        <v/>
      </c>
      <c r="N321">
        <f>TEXT(A321,"DDD")</f>
        <v/>
      </c>
      <c r="O321">
        <f>WEEKNUM(A321)</f>
        <v/>
      </c>
      <c r="P321">
        <f>INDEX({"Q1","Q1","Q1","Q2","Q2","Q2","Q3","Q3","Q3","Q4","Q4","Q4"},MONTH(A321))</f>
        <v/>
      </c>
    </row>
    <row r="322">
      <c r="A322" s="18" t="n"/>
      <c r="B322" s="15" t="n"/>
      <c r="K322">
        <f>TEXT(A322,"MMM-YY")</f>
        <v/>
      </c>
      <c r="L322">
        <f>HOUR(B322)</f>
        <v/>
      </c>
      <c r="M322">
        <f>IF(L322&lt;6,"Night",IF(L322&lt;12,"Morning",IF(L322&lt;18,"Afternoon","Evening")))</f>
        <v/>
      </c>
      <c r="N322">
        <f>TEXT(A322,"DDD")</f>
        <v/>
      </c>
      <c r="O322">
        <f>WEEKNUM(A322)</f>
        <v/>
      </c>
      <c r="P322">
        <f>INDEX({"Q1","Q1","Q1","Q2","Q2","Q2","Q3","Q3","Q3","Q4","Q4","Q4"},MONTH(A322))</f>
        <v/>
      </c>
    </row>
    <row r="323">
      <c r="A323" s="18" t="n"/>
      <c r="B323" s="15" t="n"/>
      <c r="K323">
        <f>TEXT(A323,"MMM-YY")</f>
        <v/>
      </c>
      <c r="L323">
        <f>HOUR(B323)</f>
        <v/>
      </c>
      <c r="M323">
        <f>IF(L323&lt;6,"Night",IF(L323&lt;12,"Morning",IF(L323&lt;18,"Afternoon","Evening")))</f>
        <v/>
      </c>
      <c r="N323">
        <f>TEXT(A323,"DDD")</f>
        <v/>
      </c>
      <c r="O323">
        <f>WEEKNUM(A323)</f>
        <v/>
      </c>
      <c r="P323">
        <f>INDEX({"Q1","Q1","Q1","Q2","Q2","Q2","Q3","Q3","Q3","Q4","Q4","Q4"},MONTH(A323))</f>
        <v/>
      </c>
    </row>
    <row r="324">
      <c r="A324" s="18" t="n"/>
      <c r="B324" s="15" t="n"/>
      <c r="K324">
        <f>TEXT(A324,"MMM-YY")</f>
        <v/>
      </c>
      <c r="L324">
        <f>HOUR(B324)</f>
        <v/>
      </c>
      <c r="M324">
        <f>IF(L324&lt;6,"Night",IF(L324&lt;12,"Morning",IF(L324&lt;18,"Afternoon","Evening")))</f>
        <v/>
      </c>
      <c r="N324">
        <f>TEXT(A324,"DDD")</f>
        <v/>
      </c>
      <c r="O324">
        <f>WEEKNUM(A324)</f>
        <v/>
      </c>
      <c r="P324">
        <f>INDEX({"Q1","Q1","Q1","Q2","Q2","Q2","Q3","Q3","Q3","Q4","Q4","Q4"},MONTH(A324))</f>
        <v/>
      </c>
    </row>
    <row r="325">
      <c r="A325" s="18" t="n"/>
      <c r="B325" s="15" t="n"/>
      <c r="K325">
        <f>TEXT(A325,"MMM-YY")</f>
        <v/>
      </c>
      <c r="L325">
        <f>HOUR(B325)</f>
        <v/>
      </c>
      <c r="M325">
        <f>IF(L325&lt;6,"Night",IF(L325&lt;12,"Morning",IF(L325&lt;18,"Afternoon","Evening")))</f>
        <v/>
      </c>
      <c r="N325">
        <f>TEXT(A325,"DDD")</f>
        <v/>
      </c>
      <c r="O325">
        <f>WEEKNUM(A325)</f>
        <v/>
      </c>
      <c r="P325">
        <f>INDEX({"Q1","Q1","Q1","Q2","Q2","Q2","Q3","Q3","Q3","Q4","Q4","Q4"},MONTH(A325))</f>
        <v/>
      </c>
    </row>
    <row r="326">
      <c r="A326" s="18" t="n"/>
      <c r="B326" s="15" t="n"/>
      <c r="K326">
        <f>TEXT(A326,"MMM-YY")</f>
        <v/>
      </c>
      <c r="L326">
        <f>HOUR(B326)</f>
        <v/>
      </c>
      <c r="M326">
        <f>IF(L326&lt;6,"Night",IF(L326&lt;12,"Morning",IF(L326&lt;18,"Afternoon","Evening")))</f>
        <v/>
      </c>
      <c r="N326">
        <f>TEXT(A326,"DDD")</f>
        <v/>
      </c>
      <c r="O326">
        <f>WEEKNUM(A326)</f>
        <v/>
      </c>
      <c r="P326">
        <f>INDEX({"Q1","Q1","Q1","Q2","Q2","Q2","Q3","Q3","Q3","Q4","Q4","Q4"},MONTH(A326))</f>
        <v/>
      </c>
    </row>
    <row r="327">
      <c r="A327" s="18" t="n"/>
      <c r="B327" s="15" t="n"/>
      <c r="K327">
        <f>TEXT(A327,"MMM-YY")</f>
        <v/>
      </c>
      <c r="L327">
        <f>HOUR(B327)</f>
        <v/>
      </c>
      <c r="M327">
        <f>IF(L327&lt;6,"Night",IF(L327&lt;12,"Morning",IF(L327&lt;18,"Afternoon","Evening")))</f>
        <v/>
      </c>
      <c r="N327">
        <f>TEXT(A327,"DDD")</f>
        <v/>
      </c>
      <c r="O327">
        <f>WEEKNUM(A327)</f>
        <v/>
      </c>
      <c r="P327">
        <f>INDEX({"Q1","Q1","Q1","Q2","Q2","Q2","Q3","Q3","Q3","Q4","Q4","Q4"},MONTH(A327))</f>
        <v/>
      </c>
    </row>
    <row r="328">
      <c r="A328" s="18" t="n"/>
      <c r="B328" s="15" t="n"/>
      <c r="K328">
        <f>TEXT(A328,"MMM-YY")</f>
        <v/>
      </c>
      <c r="L328">
        <f>HOUR(B328)</f>
        <v/>
      </c>
      <c r="M328">
        <f>IF(L328&lt;6,"Night",IF(L328&lt;12,"Morning",IF(L328&lt;18,"Afternoon","Evening")))</f>
        <v/>
      </c>
      <c r="N328">
        <f>TEXT(A328,"DDD")</f>
        <v/>
      </c>
      <c r="O328">
        <f>WEEKNUM(A328)</f>
        <v/>
      </c>
      <c r="P328">
        <f>INDEX({"Q1","Q1","Q1","Q2","Q2","Q2","Q3","Q3","Q3","Q4","Q4","Q4"},MONTH(A328))</f>
        <v/>
      </c>
    </row>
    <row r="329">
      <c r="A329" s="18" t="n"/>
      <c r="B329" s="15" t="n"/>
      <c r="K329">
        <f>TEXT(A329,"MMM-YY")</f>
        <v/>
      </c>
      <c r="L329">
        <f>HOUR(B329)</f>
        <v/>
      </c>
      <c r="M329">
        <f>IF(L329&lt;6,"Night",IF(L329&lt;12,"Morning",IF(L329&lt;18,"Afternoon","Evening")))</f>
        <v/>
      </c>
      <c r="N329">
        <f>TEXT(A329,"DDD")</f>
        <v/>
      </c>
      <c r="O329">
        <f>WEEKNUM(A329)</f>
        <v/>
      </c>
      <c r="P329">
        <f>INDEX({"Q1","Q1","Q1","Q2","Q2","Q2","Q3","Q3","Q3","Q4","Q4","Q4"},MONTH(A329))</f>
        <v/>
      </c>
    </row>
    <row r="330">
      <c r="A330" s="18" t="n"/>
      <c r="B330" s="15" t="n"/>
      <c r="K330">
        <f>TEXT(A330,"MMM-YY")</f>
        <v/>
      </c>
      <c r="L330">
        <f>HOUR(B330)</f>
        <v/>
      </c>
      <c r="M330">
        <f>IF(L330&lt;6,"Night",IF(L330&lt;12,"Morning",IF(L330&lt;18,"Afternoon","Evening")))</f>
        <v/>
      </c>
      <c r="N330">
        <f>TEXT(A330,"DDD")</f>
        <v/>
      </c>
      <c r="O330">
        <f>WEEKNUM(A330)</f>
        <v/>
      </c>
      <c r="P330">
        <f>INDEX({"Q1","Q1","Q1","Q2","Q2","Q2","Q3","Q3","Q3","Q4","Q4","Q4"},MONTH(A330))</f>
        <v/>
      </c>
    </row>
    <row r="331">
      <c r="A331" s="18" t="n"/>
      <c r="B331" s="15" t="n"/>
      <c r="K331">
        <f>TEXT(A331,"MMM-YY")</f>
        <v/>
      </c>
      <c r="L331">
        <f>HOUR(B331)</f>
        <v/>
      </c>
      <c r="M331">
        <f>IF(L331&lt;6,"Night",IF(L331&lt;12,"Morning",IF(L331&lt;18,"Afternoon","Evening")))</f>
        <v/>
      </c>
      <c r="N331">
        <f>TEXT(A331,"DDD")</f>
        <v/>
      </c>
      <c r="O331">
        <f>WEEKNUM(A331)</f>
        <v/>
      </c>
      <c r="P331">
        <f>INDEX({"Q1","Q1","Q1","Q2","Q2","Q2","Q3","Q3","Q3","Q4","Q4","Q4"},MONTH(A331))</f>
        <v/>
      </c>
    </row>
    <row r="332">
      <c r="A332" s="18" t="n"/>
      <c r="B332" s="15" t="n"/>
      <c r="K332">
        <f>TEXT(A332,"MMM-YY")</f>
        <v/>
      </c>
      <c r="L332">
        <f>HOUR(B332)</f>
        <v/>
      </c>
      <c r="M332">
        <f>IF(L332&lt;6,"Night",IF(L332&lt;12,"Morning",IF(L332&lt;18,"Afternoon","Evening")))</f>
        <v/>
      </c>
      <c r="N332">
        <f>TEXT(A332,"DDD")</f>
        <v/>
      </c>
      <c r="O332">
        <f>WEEKNUM(A332)</f>
        <v/>
      </c>
      <c r="P332">
        <f>INDEX({"Q1","Q1","Q1","Q2","Q2","Q2","Q3","Q3","Q3","Q4","Q4","Q4"},MONTH(A332))</f>
        <v/>
      </c>
    </row>
    <row r="333">
      <c r="A333" s="18" t="n"/>
      <c r="B333" s="15" t="n"/>
      <c r="K333">
        <f>TEXT(A333,"MMM-YY")</f>
        <v/>
      </c>
      <c r="L333">
        <f>HOUR(B333)</f>
        <v/>
      </c>
      <c r="M333">
        <f>IF(L333&lt;6,"Night",IF(L333&lt;12,"Morning",IF(L333&lt;18,"Afternoon","Evening")))</f>
        <v/>
      </c>
      <c r="N333">
        <f>TEXT(A333,"DDD")</f>
        <v/>
      </c>
      <c r="O333">
        <f>WEEKNUM(A333)</f>
        <v/>
      </c>
      <c r="P333">
        <f>INDEX({"Q1","Q1","Q1","Q2","Q2","Q2","Q3","Q3","Q3","Q4","Q4","Q4"},MONTH(A333))</f>
        <v/>
      </c>
    </row>
    <row r="334">
      <c r="A334" s="18" t="n"/>
      <c r="B334" s="15" t="n"/>
      <c r="K334">
        <f>TEXT(A334,"MMM-YY")</f>
        <v/>
      </c>
      <c r="L334">
        <f>HOUR(B334)</f>
        <v/>
      </c>
      <c r="M334">
        <f>IF(L334&lt;6,"Night",IF(L334&lt;12,"Morning",IF(L334&lt;18,"Afternoon","Evening")))</f>
        <v/>
      </c>
      <c r="N334">
        <f>TEXT(A334,"DDD")</f>
        <v/>
      </c>
      <c r="O334">
        <f>WEEKNUM(A334)</f>
        <v/>
      </c>
      <c r="P334">
        <f>INDEX({"Q1","Q1","Q1","Q2","Q2","Q2","Q3","Q3","Q3","Q4","Q4","Q4"},MONTH(A334))</f>
        <v/>
      </c>
    </row>
    <row r="335">
      <c r="A335" s="18" t="n"/>
      <c r="B335" s="15" t="n"/>
      <c r="K335">
        <f>TEXT(A335,"MMM-YY")</f>
        <v/>
      </c>
      <c r="L335">
        <f>HOUR(B335)</f>
        <v/>
      </c>
      <c r="M335">
        <f>IF(L335&lt;6,"Night",IF(L335&lt;12,"Morning",IF(L335&lt;18,"Afternoon","Evening")))</f>
        <v/>
      </c>
      <c r="N335">
        <f>TEXT(A335,"DDD")</f>
        <v/>
      </c>
      <c r="O335">
        <f>WEEKNUM(A335)</f>
        <v/>
      </c>
      <c r="P335">
        <f>INDEX({"Q1","Q1","Q1","Q2","Q2","Q2","Q3","Q3","Q3","Q4","Q4","Q4"},MONTH(A335))</f>
        <v/>
      </c>
    </row>
    <row r="336">
      <c r="A336" s="18" t="n"/>
      <c r="B336" s="15" t="n"/>
      <c r="K336">
        <f>TEXT(A336,"MMM-YY")</f>
        <v/>
      </c>
      <c r="L336">
        <f>HOUR(B336)</f>
        <v/>
      </c>
      <c r="M336">
        <f>IF(L336&lt;6,"Night",IF(L336&lt;12,"Morning",IF(L336&lt;18,"Afternoon","Evening")))</f>
        <v/>
      </c>
      <c r="N336">
        <f>TEXT(A336,"DDD")</f>
        <v/>
      </c>
      <c r="O336">
        <f>WEEKNUM(A336)</f>
        <v/>
      </c>
      <c r="P336">
        <f>INDEX({"Q1","Q1","Q1","Q2","Q2","Q2","Q3","Q3","Q3","Q4","Q4","Q4"},MONTH(A336))</f>
        <v/>
      </c>
    </row>
    <row r="337">
      <c r="A337" s="18" t="n"/>
      <c r="B337" s="15" t="n"/>
      <c r="K337">
        <f>TEXT(A337,"MMM-YY")</f>
        <v/>
      </c>
      <c r="L337">
        <f>HOUR(B337)</f>
        <v/>
      </c>
      <c r="M337">
        <f>IF(L337&lt;6,"Night",IF(L337&lt;12,"Morning",IF(L337&lt;18,"Afternoon","Evening")))</f>
        <v/>
      </c>
      <c r="N337">
        <f>TEXT(A337,"DDD")</f>
        <v/>
      </c>
      <c r="O337">
        <f>WEEKNUM(A337)</f>
        <v/>
      </c>
      <c r="P337">
        <f>INDEX({"Q1","Q1","Q1","Q2","Q2","Q2","Q3","Q3","Q3","Q4","Q4","Q4"},MONTH(A337))</f>
        <v/>
      </c>
    </row>
    <row r="338">
      <c r="A338" s="18" t="n"/>
      <c r="B338" s="15" t="n"/>
      <c r="K338">
        <f>TEXT(A338,"MMM-YY")</f>
        <v/>
      </c>
      <c r="L338">
        <f>HOUR(B338)</f>
        <v/>
      </c>
      <c r="M338">
        <f>IF(L338&lt;6,"Night",IF(L338&lt;12,"Morning",IF(L338&lt;18,"Afternoon","Evening")))</f>
        <v/>
      </c>
      <c r="N338">
        <f>TEXT(A338,"DDD")</f>
        <v/>
      </c>
      <c r="O338">
        <f>WEEKNUM(A338)</f>
        <v/>
      </c>
      <c r="P338">
        <f>INDEX({"Q1","Q1","Q1","Q2","Q2","Q2","Q3","Q3","Q3","Q4","Q4","Q4"},MONTH(A338))</f>
        <v/>
      </c>
    </row>
    <row r="339">
      <c r="A339" s="18" t="n"/>
      <c r="B339" s="15" t="n"/>
      <c r="K339">
        <f>TEXT(A339,"MMM-YY")</f>
        <v/>
      </c>
      <c r="L339">
        <f>HOUR(B339)</f>
        <v/>
      </c>
      <c r="M339">
        <f>IF(L339&lt;6,"Night",IF(L339&lt;12,"Morning",IF(L339&lt;18,"Afternoon","Evening")))</f>
        <v/>
      </c>
      <c r="N339">
        <f>TEXT(A339,"DDD")</f>
        <v/>
      </c>
      <c r="O339">
        <f>WEEKNUM(A339)</f>
        <v/>
      </c>
      <c r="P339">
        <f>INDEX({"Q1","Q1","Q1","Q2","Q2","Q2","Q3","Q3","Q3","Q4","Q4","Q4"},MONTH(A339))</f>
        <v/>
      </c>
    </row>
    <row r="340">
      <c r="A340" s="18" t="n"/>
      <c r="B340" s="15" t="n"/>
      <c r="K340">
        <f>TEXT(A340,"MMM-YY")</f>
        <v/>
      </c>
      <c r="L340">
        <f>HOUR(B340)</f>
        <v/>
      </c>
      <c r="M340">
        <f>IF(L340&lt;6,"Night",IF(L340&lt;12,"Morning",IF(L340&lt;18,"Afternoon","Evening")))</f>
        <v/>
      </c>
      <c r="N340">
        <f>TEXT(A340,"DDD")</f>
        <v/>
      </c>
      <c r="O340">
        <f>WEEKNUM(A340)</f>
        <v/>
      </c>
      <c r="P340">
        <f>INDEX({"Q1","Q1","Q1","Q2","Q2","Q2","Q3","Q3","Q3","Q4","Q4","Q4"},MONTH(A340))</f>
        <v/>
      </c>
    </row>
    <row r="341">
      <c r="A341" s="18" t="n"/>
      <c r="B341" s="15" t="n"/>
      <c r="K341">
        <f>TEXT(A341,"MMM-YY")</f>
        <v/>
      </c>
      <c r="L341">
        <f>HOUR(B341)</f>
        <v/>
      </c>
      <c r="M341">
        <f>IF(L341&lt;6,"Night",IF(L341&lt;12,"Morning",IF(L341&lt;18,"Afternoon","Evening")))</f>
        <v/>
      </c>
      <c r="N341">
        <f>TEXT(A341,"DDD")</f>
        <v/>
      </c>
      <c r="O341">
        <f>WEEKNUM(A341)</f>
        <v/>
      </c>
      <c r="P341">
        <f>INDEX({"Q1","Q1","Q1","Q2","Q2","Q2","Q3","Q3","Q3","Q4","Q4","Q4"},MONTH(A341))</f>
        <v/>
      </c>
    </row>
    <row r="342">
      <c r="A342" s="18" t="n"/>
      <c r="B342" s="15" t="n"/>
      <c r="K342">
        <f>TEXT(A342,"MMM-YY")</f>
        <v/>
      </c>
      <c r="L342">
        <f>HOUR(B342)</f>
        <v/>
      </c>
      <c r="M342">
        <f>IF(L342&lt;6,"Night",IF(L342&lt;12,"Morning",IF(L342&lt;18,"Afternoon","Evening")))</f>
        <v/>
      </c>
      <c r="N342">
        <f>TEXT(A342,"DDD")</f>
        <v/>
      </c>
      <c r="O342">
        <f>WEEKNUM(A342)</f>
        <v/>
      </c>
      <c r="P342">
        <f>INDEX({"Q1","Q1","Q1","Q2","Q2","Q2","Q3","Q3","Q3","Q4","Q4","Q4"},MONTH(A342))</f>
        <v/>
      </c>
    </row>
    <row r="343">
      <c r="A343" s="18" t="n"/>
      <c r="B343" s="15" t="n"/>
      <c r="K343">
        <f>TEXT(A343,"MMM-YY")</f>
        <v/>
      </c>
      <c r="L343">
        <f>HOUR(B343)</f>
        <v/>
      </c>
      <c r="M343">
        <f>IF(L343&lt;6,"Night",IF(L343&lt;12,"Morning",IF(L343&lt;18,"Afternoon","Evening")))</f>
        <v/>
      </c>
      <c r="N343">
        <f>TEXT(A343,"DDD")</f>
        <v/>
      </c>
      <c r="O343">
        <f>WEEKNUM(A343)</f>
        <v/>
      </c>
      <c r="P343">
        <f>INDEX({"Q1","Q1","Q1","Q2","Q2","Q2","Q3","Q3","Q3","Q4","Q4","Q4"},MONTH(A343))</f>
        <v/>
      </c>
    </row>
    <row r="344">
      <c r="A344" s="18" t="n"/>
      <c r="B344" s="15" t="n"/>
      <c r="K344">
        <f>TEXT(A344,"MMM-YY")</f>
        <v/>
      </c>
      <c r="L344">
        <f>HOUR(B344)</f>
        <v/>
      </c>
      <c r="M344">
        <f>IF(L344&lt;6,"Night",IF(L344&lt;12,"Morning",IF(L344&lt;18,"Afternoon","Evening")))</f>
        <v/>
      </c>
      <c r="N344">
        <f>TEXT(A344,"DDD")</f>
        <v/>
      </c>
      <c r="O344">
        <f>WEEKNUM(A344)</f>
        <v/>
      </c>
      <c r="P344">
        <f>INDEX({"Q1","Q1","Q1","Q2","Q2","Q2","Q3","Q3","Q3","Q4","Q4","Q4"},MONTH(A344))</f>
        <v/>
      </c>
    </row>
    <row r="345">
      <c r="A345" s="18" t="n"/>
      <c r="B345" s="15" t="n"/>
      <c r="K345">
        <f>TEXT(A345,"MMM-YY")</f>
        <v/>
      </c>
      <c r="L345">
        <f>HOUR(B345)</f>
        <v/>
      </c>
      <c r="M345">
        <f>IF(L345&lt;6,"Night",IF(L345&lt;12,"Morning",IF(L345&lt;18,"Afternoon","Evening")))</f>
        <v/>
      </c>
      <c r="N345">
        <f>TEXT(A345,"DDD")</f>
        <v/>
      </c>
      <c r="O345">
        <f>WEEKNUM(A345)</f>
        <v/>
      </c>
      <c r="P345">
        <f>INDEX({"Q1","Q1","Q1","Q2","Q2","Q2","Q3","Q3","Q3","Q4","Q4","Q4"},MONTH(A345))</f>
        <v/>
      </c>
    </row>
    <row r="346">
      <c r="A346" s="18" t="n"/>
      <c r="B346" s="15" t="n"/>
      <c r="K346">
        <f>TEXT(A346,"MMM-YY")</f>
        <v/>
      </c>
      <c r="L346">
        <f>HOUR(B346)</f>
        <v/>
      </c>
      <c r="M346">
        <f>IF(L346&lt;6,"Night",IF(L346&lt;12,"Morning",IF(L346&lt;18,"Afternoon","Evening")))</f>
        <v/>
      </c>
      <c r="N346">
        <f>TEXT(A346,"DDD")</f>
        <v/>
      </c>
      <c r="O346">
        <f>WEEKNUM(A346)</f>
        <v/>
      </c>
      <c r="P346">
        <f>INDEX({"Q1","Q1","Q1","Q2","Q2","Q2","Q3","Q3","Q3","Q4","Q4","Q4"},MONTH(A346))</f>
        <v/>
      </c>
    </row>
    <row r="347">
      <c r="A347" s="18" t="n"/>
      <c r="B347" s="15" t="n"/>
      <c r="K347">
        <f>TEXT(A347,"MMM-YY")</f>
        <v/>
      </c>
      <c r="L347">
        <f>HOUR(B347)</f>
        <v/>
      </c>
      <c r="M347">
        <f>IF(L347&lt;6,"Night",IF(L347&lt;12,"Morning",IF(L347&lt;18,"Afternoon","Evening")))</f>
        <v/>
      </c>
      <c r="N347">
        <f>TEXT(A347,"DDD")</f>
        <v/>
      </c>
      <c r="O347">
        <f>WEEKNUM(A347)</f>
        <v/>
      </c>
      <c r="P347">
        <f>INDEX({"Q1","Q1","Q1","Q2","Q2","Q2","Q3","Q3","Q3","Q4","Q4","Q4"},MONTH(A347))</f>
        <v/>
      </c>
    </row>
    <row r="348">
      <c r="A348" s="18" t="n"/>
      <c r="B348" s="15" t="n"/>
      <c r="K348">
        <f>TEXT(A348,"MMM-YY")</f>
        <v/>
      </c>
      <c r="L348">
        <f>HOUR(B348)</f>
        <v/>
      </c>
      <c r="M348">
        <f>IF(L348&lt;6,"Night",IF(L348&lt;12,"Morning",IF(L348&lt;18,"Afternoon","Evening")))</f>
        <v/>
      </c>
      <c r="N348">
        <f>TEXT(A348,"DDD")</f>
        <v/>
      </c>
      <c r="O348">
        <f>WEEKNUM(A348)</f>
        <v/>
      </c>
      <c r="P348">
        <f>INDEX({"Q1","Q1","Q1","Q2","Q2","Q2","Q3","Q3","Q3","Q4","Q4","Q4"},MONTH(A348))</f>
        <v/>
      </c>
    </row>
    <row r="349">
      <c r="A349" s="18" t="n"/>
      <c r="B349" s="15" t="n"/>
      <c r="K349">
        <f>TEXT(A349,"MMM-YY")</f>
        <v/>
      </c>
      <c r="L349">
        <f>HOUR(B349)</f>
        <v/>
      </c>
      <c r="M349">
        <f>IF(L349&lt;6,"Night",IF(L349&lt;12,"Morning",IF(L349&lt;18,"Afternoon","Evening")))</f>
        <v/>
      </c>
      <c r="N349">
        <f>TEXT(A349,"DDD")</f>
        <v/>
      </c>
      <c r="O349">
        <f>WEEKNUM(A349)</f>
        <v/>
      </c>
      <c r="P349">
        <f>INDEX({"Q1","Q1","Q1","Q2","Q2","Q2","Q3","Q3","Q3","Q4","Q4","Q4"},MONTH(A349))</f>
        <v/>
      </c>
    </row>
    <row r="350">
      <c r="A350" s="18" t="n"/>
      <c r="B350" s="15" t="n"/>
      <c r="K350">
        <f>TEXT(A350,"MMM-YY")</f>
        <v/>
      </c>
      <c r="L350">
        <f>HOUR(B350)</f>
        <v/>
      </c>
      <c r="M350">
        <f>IF(L350&lt;6,"Night",IF(L350&lt;12,"Morning",IF(L350&lt;18,"Afternoon","Evening")))</f>
        <v/>
      </c>
      <c r="N350">
        <f>TEXT(A350,"DDD")</f>
        <v/>
      </c>
      <c r="O350">
        <f>WEEKNUM(A350)</f>
        <v/>
      </c>
      <c r="P350">
        <f>INDEX({"Q1","Q1","Q1","Q2","Q2","Q2","Q3","Q3","Q3","Q4","Q4","Q4"},MONTH(A350))</f>
        <v/>
      </c>
    </row>
    <row r="351">
      <c r="A351" s="18" t="n"/>
      <c r="B351" s="15" t="n"/>
      <c r="K351">
        <f>TEXT(A351,"MMM-YY")</f>
        <v/>
      </c>
      <c r="L351">
        <f>HOUR(B351)</f>
        <v/>
      </c>
      <c r="M351">
        <f>IF(L351&lt;6,"Night",IF(L351&lt;12,"Morning",IF(L351&lt;18,"Afternoon","Evening")))</f>
        <v/>
      </c>
      <c r="N351">
        <f>TEXT(A351,"DDD")</f>
        <v/>
      </c>
      <c r="O351">
        <f>WEEKNUM(A351)</f>
        <v/>
      </c>
      <c r="P351">
        <f>INDEX({"Q1","Q1","Q1","Q2","Q2","Q2","Q3","Q3","Q3","Q4","Q4","Q4"},MONTH(A351))</f>
        <v/>
      </c>
    </row>
    <row r="352">
      <c r="A352" s="18" t="n"/>
      <c r="B352" s="15" t="n"/>
      <c r="K352">
        <f>TEXT(A352,"MMM-YY")</f>
        <v/>
      </c>
      <c r="L352">
        <f>HOUR(B352)</f>
        <v/>
      </c>
      <c r="M352">
        <f>IF(L352&lt;6,"Night",IF(L352&lt;12,"Morning",IF(L352&lt;18,"Afternoon","Evening")))</f>
        <v/>
      </c>
      <c r="N352">
        <f>TEXT(A352,"DDD")</f>
        <v/>
      </c>
      <c r="O352">
        <f>WEEKNUM(A352)</f>
        <v/>
      </c>
      <c r="P352">
        <f>INDEX({"Q1","Q1","Q1","Q2","Q2","Q2","Q3","Q3","Q3","Q4","Q4","Q4"},MONTH(A352))</f>
        <v/>
      </c>
    </row>
    <row r="353">
      <c r="A353" s="18" t="n"/>
      <c r="B353" s="15" t="n"/>
      <c r="K353">
        <f>TEXT(A353,"MMM-YY")</f>
        <v/>
      </c>
      <c r="L353">
        <f>HOUR(B353)</f>
        <v/>
      </c>
      <c r="M353">
        <f>IF(L353&lt;6,"Night",IF(L353&lt;12,"Morning",IF(L353&lt;18,"Afternoon","Evening")))</f>
        <v/>
      </c>
      <c r="N353">
        <f>TEXT(A353,"DDD")</f>
        <v/>
      </c>
      <c r="O353">
        <f>WEEKNUM(A353)</f>
        <v/>
      </c>
      <c r="P353">
        <f>INDEX({"Q1","Q1","Q1","Q2","Q2","Q2","Q3","Q3","Q3","Q4","Q4","Q4"},MONTH(A353))</f>
        <v/>
      </c>
    </row>
    <row r="354">
      <c r="A354" s="18" t="n"/>
      <c r="B354" s="15" t="n"/>
      <c r="K354">
        <f>TEXT(A354,"MMM-YY")</f>
        <v/>
      </c>
      <c r="L354">
        <f>HOUR(B354)</f>
        <v/>
      </c>
      <c r="M354">
        <f>IF(L354&lt;6,"Night",IF(L354&lt;12,"Morning",IF(L354&lt;18,"Afternoon","Evening")))</f>
        <v/>
      </c>
      <c r="N354">
        <f>TEXT(A354,"DDD")</f>
        <v/>
      </c>
      <c r="O354">
        <f>WEEKNUM(A354)</f>
        <v/>
      </c>
      <c r="P354">
        <f>INDEX({"Q1","Q1","Q1","Q2","Q2","Q2","Q3","Q3","Q3","Q4","Q4","Q4"},MONTH(A354))</f>
        <v/>
      </c>
    </row>
    <row r="355">
      <c r="A355" s="18" t="n"/>
      <c r="B355" s="15" t="n"/>
      <c r="K355">
        <f>TEXT(A355,"MMM-YY")</f>
        <v/>
      </c>
      <c r="L355">
        <f>HOUR(B355)</f>
        <v/>
      </c>
      <c r="M355">
        <f>IF(L355&lt;6,"Night",IF(L355&lt;12,"Morning",IF(L355&lt;18,"Afternoon","Evening")))</f>
        <v/>
      </c>
      <c r="N355">
        <f>TEXT(A355,"DDD")</f>
        <v/>
      </c>
      <c r="O355">
        <f>WEEKNUM(A355)</f>
        <v/>
      </c>
      <c r="P355">
        <f>INDEX({"Q1","Q1","Q1","Q2","Q2","Q2","Q3","Q3","Q3","Q4","Q4","Q4"},MONTH(A355))</f>
        <v/>
      </c>
    </row>
    <row r="356">
      <c r="A356" s="18" t="n"/>
      <c r="B356" s="15" t="n"/>
      <c r="K356">
        <f>TEXT(A356,"MMM-YY")</f>
        <v/>
      </c>
      <c r="L356">
        <f>HOUR(B356)</f>
        <v/>
      </c>
      <c r="M356">
        <f>IF(L356&lt;6,"Night",IF(L356&lt;12,"Morning",IF(L356&lt;18,"Afternoon","Evening")))</f>
        <v/>
      </c>
      <c r="N356">
        <f>TEXT(A356,"DDD")</f>
        <v/>
      </c>
      <c r="O356">
        <f>WEEKNUM(A356)</f>
        <v/>
      </c>
      <c r="P356">
        <f>INDEX({"Q1","Q1","Q1","Q2","Q2","Q2","Q3","Q3","Q3","Q4","Q4","Q4"},MONTH(A356))</f>
        <v/>
      </c>
    </row>
  </sheetData>
  <dataValidations count="5">
    <dataValidation sqref="G2:G356" showDropDown="0" showInputMessage="1" showErrorMessage="1" allowBlank="1" type="list">
      <formula1>$X$2:$X$22</formula1>
    </dataValidation>
    <dataValidation sqref="I2:I356" showDropDown="0" showInputMessage="1" showErrorMessage="1" allowBlank="1" type="list">
      <formula1>$U$3:$U$6</formula1>
    </dataValidation>
    <dataValidation sqref="J2:J356" showDropDown="0" showInputMessage="1" showErrorMessage="1" allowBlank="1" type="list">
      <formula1>$U$8:$U$9</formula1>
    </dataValidation>
    <dataValidation sqref="A2:A356" showDropDown="0" showInputMessage="1" showErrorMessage="1" allowBlank="1" type="list">
      <formula1>$W$2:$W$31</formula1>
    </dataValidation>
    <dataValidation sqref="E2:E356" showDropDown="0" showInputMessage="1" showErrorMessage="1" allowBlank="1" type="list">
      <formula1>$Z$2:$Z$5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9"/>
  <sheetViews>
    <sheetView showGridLines="0" topLeftCell="A24" workbookViewId="0">
      <selection activeCell="B2" sqref="B2"/>
    </sheetView>
  </sheetViews>
  <sheetFormatPr baseColWidth="8" defaultRowHeight="15"/>
  <cols>
    <col width="18" customWidth="1" style="21" min="1" max="19"/>
    <col width="12" customWidth="1" style="21" min="2" max="2"/>
    <col width="12" customWidth="1" style="21" min="3" max="3"/>
    <col width="10" customWidth="1" style="21" min="4" max="4"/>
    <col width="14" customWidth="1" style="21" min="5" max="5"/>
    <col width="14" customWidth="1" style="21" min="6" max="6"/>
    <col width="16" customWidth="1" style="21" min="7" max="7"/>
  </cols>
  <sheetData>
    <row r="1" ht="36.75" customHeight="1" s="21">
      <c r="A1" s="44" t="inlineStr">
        <is>
          <t>SHAPA NIKE SOWETO MEDICAL DASHBOARD</t>
        </is>
      </c>
      <c r="B1" s="45" t="n"/>
      <c r="C1" s="45" t="n"/>
      <c r="D1" s="45" t="n"/>
      <c r="E1" s="45" t="n"/>
      <c r="F1" s="45" t="n"/>
      <c r="G1" s="45" t="n"/>
      <c r="H1" s="45" t="n"/>
      <c r="I1" s="45" t="n"/>
      <c r="J1" s="45" t="n"/>
      <c r="K1" s="45" t="n"/>
      <c r="L1" s="45" t="n"/>
      <c r="M1" s="45" t="n"/>
      <c r="N1" s="45" t="n"/>
    </row>
    <row r="2">
      <c r="A2" s="45" t="n"/>
      <c r="B2" s="46">
        <f>E4</f>
        <v/>
      </c>
      <c r="C2" s="45" t="n"/>
      <c r="D2" s="45" t="n"/>
      <c r="E2" s="45" t="n"/>
      <c r="F2" s="45" t="n"/>
      <c r="G2" s="45" t="n"/>
      <c r="H2" s="45" t="n"/>
      <c r="I2" s="45" t="n"/>
      <c r="J2" s="45" t="n"/>
      <c r="K2" s="45" t="n"/>
      <c r="L2" s="45" t="n"/>
      <c r="M2" s="45" t="n"/>
      <c r="N2" s="45" t="n"/>
    </row>
    <row r="3">
      <c r="A3" s="47" t="inlineStr">
        <is>
          <t>REPORT CONTROLS</t>
        </is>
      </c>
      <c r="B3" s="45" t="n"/>
      <c r="C3" s="45" t="n"/>
      <c r="D3" s="45" t="n"/>
      <c r="E3" s="45" t="n"/>
      <c r="F3" s="45" t="n"/>
      <c r="G3" s="45" t="n"/>
      <c r="H3" s="45" t="n"/>
      <c r="I3" s="45" t="n"/>
      <c r="J3" s="45" t="n"/>
      <c r="K3" s="45" t="n"/>
      <c r="L3" s="45" t="n"/>
      <c r="M3" s="45" t="n"/>
      <c r="N3" s="45" t="n"/>
    </row>
    <row r="4" ht="15.75" customHeight="1" s="21">
      <c r="A4" s="48" t="inlineStr">
        <is>
          <t>1. Report Type:</t>
        </is>
      </c>
      <c r="B4" s="49" t="inlineStr">
        <is>
          <t>Monthly</t>
        </is>
      </c>
      <c r="C4" s="45" t="n"/>
      <c r="D4" s="50" t="inlineStr">
        <is>
          <t>2. Select Month:</t>
        </is>
      </c>
      <c r="E4" s="57" t="inlineStr">
        <is>
          <t>Oct-25</t>
        </is>
      </c>
      <c r="F4" s="52" t="n"/>
      <c r="G4" s="50" t="inlineStr">
        <is>
          <t>3. Select Week:</t>
        </is>
      </c>
      <c r="H4" s="57" t="inlineStr">
        <is>
          <t>Week 1</t>
        </is>
      </c>
      <c r="I4" s="45" t="n"/>
      <c r="J4" s="50" t="inlineStr">
        <is>
          <t>4. Select Quarter:</t>
        </is>
      </c>
      <c r="K4" s="58" t="inlineStr">
        <is>
          <t>Q4</t>
        </is>
      </c>
      <c r="L4" s="45" t="n"/>
      <c r="M4" s="60">
        <f>VALUE(SUBSTITUTE(H4,"Week ",""))</f>
        <v/>
      </c>
      <c r="N4" s="45" t="n"/>
      <c r="P4" s="29" t="inlineStr">
        <is>
          <t>TOP RISK SITE</t>
        </is>
      </c>
    </row>
    <row r="5">
      <c r="A5" s="59" t="inlineStr">
        <is>
          <t>→ Monthly: Select Report Type + Month</t>
        </is>
      </c>
      <c r="B5" s="45" t="n"/>
      <c r="C5" s="45" t="n"/>
      <c r="D5" s="45" t="n"/>
      <c r="E5" s="59" t="inlineStr">
        <is>
          <t>→ Weekly: Select Month + Week</t>
        </is>
      </c>
      <c r="F5" s="45" t="n"/>
      <c r="G5" s="45" t="n"/>
      <c r="H5" s="45" t="n"/>
      <c r="I5" s="59" t="inlineStr">
        <is>
          <t>→ Quarterly: Select Quarter</t>
        </is>
      </c>
      <c r="J5" s="45" t="n"/>
      <c r="K5" s="45" t="n"/>
      <c r="L5" s="45" t="n"/>
      <c r="M5" s="45" t="n"/>
      <c r="N5" s="45" t="n"/>
      <c r="P5" s="5" t="n"/>
      <c r="Q5" s="5" t="n"/>
      <c r="R5" s="5" t="n"/>
      <c r="S5" s="5" t="n"/>
    </row>
    <row r="6" ht="46.5" customHeight="1" s="21">
      <c r="A6" s="47" t="inlineStr">
        <is>
          <t>SUMMARY</t>
        </is>
      </c>
      <c r="B6" s="52" t="n"/>
      <c r="C6" s="45" t="n"/>
      <c r="D6" s="45" t="n"/>
      <c r="E6" s="45" t="n"/>
      <c r="F6" s="45" t="n"/>
      <c r="G6" s="52" t="n"/>
      <c r="H6" s="45" t="n"/>
      <c r="I6" s="45" t="n"/>
      <c r="J6" s="45" t="n"/>
      <c r="K6" s="45" t="n"/>
      <c r="L6" s="52" t="n"/>
      <c r="M6" s="45" t="n"/>
      <c r="N6" s="45" t="n"/>
      <c r="P6" s="5" t="n"/>
      <c r="Q6" s="9">
        <f>IFERROR(INDEX(MedicalData[Site],MODE(MATCH(MedicalData[Site],MedicalData[Site],0))),"")</f>
        <v/>
      </c>
      <c r="R6" s="5" t="n"/>
      <c r="S6" s="5" t="n"/>
    </row>
    <row r="7" ht="18.75" customHeight="1" s="21">
      <c r="A7" s="54" t="inlineStr">
        <is>
          <t>Period:</t>
        </is>
      </c>
      <c r="B7" s="55">
        <f>IF(B4="Weekly",E4&amp;" - "&amp;H4,IF(B4="Monthly",E4,IF(B4="Quarterly",K4&amp;" "&amp;RIGHT(E4,2),"All Time")))</f>
        <v/>
      </c>
      <c r="C7" s="45" t="n"/>
      <c r="D7" s="54" t="inlineStr">
        <is>
          <t>Total Incidents</t>
        </is>
      </c>
      <c r="E7" s="56">
        <f>IF(B4="Weekly",SUMPRODUCT((MedicalData[Month]=E4)*(INT((DAY(MedicalData[Date])-1)/7)+1=$M$4)*1),IF(B4="Monthly",COUNTIF(MedicalData[Month],E4),IF(B4="Quarterly",COUNTIF(MedicalData[Quarter],K4),COUNTA(MedicalData[Date]))))</f>
        <v/>
      </c>
      <c r="F7" s="45" t="n"/>
      <c r="G7" s="54" t="inlineStr">
        <is>
          <t>Ambulance</t>
        </is>
      </c>
      <c r="H7" s="56">
        <f>IF(B4="Weekly",SUMPRODUCT((MedicalData[Month]=E4)*(INT((DAY(MedicalData[Date])-1)/7)+1=$M$4)*(MedicalData[Hospital Transportation]="Yes")*1),IF(B4="Monthly",COUNTIFS(MedicalData[Month],E4,MedicalData[Hospital Transportation],"Yes"),IF(B4="Quarterly",COUNTIFS(MedicalData[Quarter],K4,MedicalData[Hospital Transportation],"Yes"),COUNTIF(MedicalData[Hospital Transportation],"Yes"))))</f>
        <v/>
      </c>
      <c r="I7" s="45" t="n"/>
      <c r="J7" s="54" t="inlineStr">
        <is>
          <t>Avg Age</t>
        </is>
      </c>
      <c r="K7" s="56">
        <f>IFERROR(ROUND(IF(B4="Monthly",AVERAGEIF(MedicalData[Month],E4,MedicalData[Age]),IF(B4="Quarterly",AVERAGEIF(MedicalData[Quarter],K4,MedicalData[Age]),AVERAGE(MedicalData[Age]))),0),"-")</f>
        <v/>
      </c>
      <c r="L7" s="45" t="n"/>
      <c r="M7" s="45" t="n"/>
      <c r="N7" s="45" t="n"/>
      <c r="P7" s="5" t="n"/>
      <c r="Q7" s="5" t="n"/>
      <c r="R7" s="10">
        <f>IF(Q6="","",COUNTIF(MedicalData[Site],Q6))</f>
        <v/>
      </c>
      <c r="S7" s="5" t="n"/>
    </row>
    <row r="8">
      <c r="A8" s="45" t="n"/>
      <c r="B8" s="45" t="n"/>
      <c r="C8" s="45" t="n"/>
      <c r="D8" s="45" t="n"/>
      <c r="E8" s="45" t="n"/>
      <c r="F8" s="45" t="n"/>
      <c r="G8" s="45" t="n"/>
      <c r="H8" s="45" t="n"/>
      <c r="I8" s="45" t="n"/>
      <c r="J8" s="45" t="n"/>
      <c r="K8" s="45" t="n"/>
      <c r="L8" s="45" t="n"/>
      <c r="M8" s="45" t="n"/>
      <c r="N8" s="45" t="n"/>
      <c r="P8" s="5" t="n"/>
      <c r="Q8" s="5" t="n"/>
      <c r="R8" s="5" t="n"/>
      <c r="S8" s="5" t="n"/>
    </row>
    <row r="9">
      <c r="A9" s="31" t="inlineStr">
        <is>
          <t>TOP INJURY</t>
        </is>
      </c>
      <c r="F9" s="31" t="inlineStr">
        <is>
          <t>TOP MECHANISM</t>
        </is>
      </c>
      <c r="K9" s="31" t="inlineStr">
        <is>
          <t>PEAK TIME</t>
        </is>
      </c>
      <c r="P9" s="31" t="inlineStr">
        <is>
          <t>P3 RATE</t>
        </is>
      </c>
    </row>
    <row r="11">
      <c r="B11" s="32">
        <f>IFERROR(INDEX(MedicalData[Specific injuries treated],MODE(MATCH(MedicalData[Specific injuries treated],MedicalData[Specific injuries treated],0))),"")</f>
        <v/>
      </c>
      <c r="G11" s="32">
        <f>IFERROR(INDEX(MedicalData[History/Mechanism of injury],MODE(MATCH(MedicalData[History/Mechanism of injury],MedicalData[History/Mechanism of injury],0))),"")</f>
        <v/>
      </c>
      <c r="L11" s="32">
        <f>IFERROR(INDEX(MedicalData[Time Period],MODE(MATCH(MedicalData[Time Period],MedicalData[Time Period],0))),"")</f>
        <v/>
      </c>
      <c r="Q11" s="32">
        <f>IFERROR(TEXT(IF($B$2="All Time",COUNTIF(MedicalData[Priority Of Pt],"P3")/COUNTA(MedicalData[Date]),COUNTIFS(MedicalData[Priority Of Pt],"P3",MedicalData[Month],$B$2)/COUNTIF(MedicalData[Month],$B$2)),"0%"),"")</f>
        <v/>
      </c>
    </row>
    <row r="14">
      <c r="A14" s="33" t="inlineStr">
        <is>
          <t>PRIORITY BREAKDOWN</t>
        </is>
      </c>
    </row>
    <row r="16">
      <c r="A16" t="inlineStr">
        <is>
          <t>P1 (Critical)</t>
        </is>
      </c>
      <c r="B16">
        <f>IF($B$2="All Time",COUNTIF(MedicalData[Priority Of Pt],"P1"),COUNTIFS(MedicalData[Priority Of Pt],"P1",MedicalData[Month],$B$2))</f>
        <v/>
      </c>
      <c r="D16" t="inlineStr">
        <is>
          <t>P2 (Urgent)</t>
        </is>
      </c>
      <c r="E16">
        <f>IF($B$2="All Time",COUNTIF(MedicalData[Priority Of Pt],"P2"),COUNTIFS(MedicalData[Priority Of Pt],"P2",MedicalData[Month],$B$2))</f>
        <v/>
      </c>
      <c r="G16" t="inlineStr">
        <is>
          <t>P3 (Standard)</t>
        </is>
      </c>
      <c r="H16">
        <f>IF($B$2="All Time",COUNTIF(MedicalData[Priority Of Pt],"P3"),COUNTIFS(MedicalData[Priority Of Pt],"P3",MedicalData[Month],$B$2))</f>
        <v/>
      </c>
      <c r="J16" t="inlineStr">
        <is>
          <t>P4 (Minor)</t>
        </is>
      </c>
      <c r="K16">
        <f>IF($B$2="All Time",COUNTIF(MedicalData[Priority Of Pt],"P4"),COUNTIFS(MedicalData[Priority Of Pt],"P4",MedicalData[Month],$B$2))</f>
        <v/>
      </c>
    </row>
    <row r="19">
      <c r="A19" s="33" t="inlineStr">
        <is>
          <t>QUICK INSIGHTS</t>
        </is>
      </c>
    </row>
    <row r="21">
      <c r="A21" t="inlineStr">
        <is>
          <t>Busiest Day:</t>
        </is>
      </c>
      <c r="B21">
        <f>IFERROR(INDEX(MedicalData[Day of Week],MODE(MATCH(MedicalData[Day of Week],MedicalData[Day of Week],0))),"")</f>
        <v/>
      </c>
      <c r="E21" t="inlineStr">
        <is>
          <t>Top Program:</t>
        </is>
      </c>
      <c r="F21">
        <f>IFERROR(INDEX(MedicalData[Type of program],MODE(MATCH(MedicalData[Type of program],MedicalData[Type of program],0))),"")</f>
        <v/>
      </c>
      <c r="J21" t="inlineStr">
        <is>
          <t>Main Cause:</t>
        </is>
      </c>
      <c r="K21">
        <f>IFERROR(INDEX(MedicalData[Cause of injury],MODE(MATCH(MedicalData[Cause of injury],MedicalData[Cause of injury],0))),"")</f>
        <v/>
      </c>
    </row>
    <row r="25">
      <c r="A25" s="40" t="n"/>
    </row>
    <row r="26">
      <c r="A26" s="41" t="n"/>
    </row>
    <row r="28">
      <c r="A28" s="42" t="n"/>
      <c r="B28" s="42" t="n"/>
      <c r="C28" s="42" t="n"/>
      <c r="D28" s="42" t="n"/>
      <c r="E28" s="42" t="n"/>
      <c r="F28" s="42" t="n"/>
    </row>
    <row r="34">
      <c r="A34" s="30" t="n"/>
      <c r="B34" s="30" t="n"/>
      <c r="C34" s="30" t="n"/>
    </row>
    <row r="37">
      <c r="A37" s="40" t="n"/>
    </row>
    <row r="38">
      <c r="B38" s="33" t="n"/>
    </row>
    <row r="40">
      <c r="A40" s="42" t="n"/>
      <c r="B40" s="42" t="n"/>
      <c r="C40" s="42" t="n"/>
      <c r="D40" s="42" t="n"/>
      <c r="E40" s="42" t="n"/>
      <c r="F40" s="42" t="n"/>
    </row>
    <row r="41">
      <c r="F41" s="30" t="n"/>
    </row>
    <row r="42">
      <c r="F42" s="30" t="n"/>
    </row>
    <row r="44">
      <c r="F44" s="30" t="n"/>
    </row>
    <row r="46">
      <c r="A46" s="43" t="n"/>
    </row>
    <row r="61" ht="23.25" customHeight="1" s="21">
      <c r="A61" s="20" t="inlineStr">
        <is>
          <t>🚨 AUTOMATED SAFETY ALERTS</t>
        </is>
      </c>
    </row>
    <row r="63">
      <c r="A63" t="inlineStr">
        <is>
          <t>Alert 1: High-Risk Venue</t>
        </is>
      </c>
    </row>
    <row r="64">
      <c r="B64">
        <f>"WARNING: "&amp;INDEX(MedicalData[Site],MODE(MATCH(MedicalData[Site],MedicalData[Site],0)))&amp;" has "&amp;COUNTIF(MedicalData[Site],INDEX(MedicalData[Site],MODE(MATCH(MedicalData[Site],MedicalData[Site],0))))&amp;" incidents ("&amp;TEXT(COUNTIF(MedicalData[Site],INDEX(MedicalData[Site],MODE(MATCH(MedicalData[Site],MedicalData[Site],0))))/COUNTA(MedicalData[Date]),"0%")&amp;" of total)"</f>
        <v/>
      </c>
    </row>
    <row r="66">
      <c r="A66" t="inlineStr">
        <is>
          <t>Alert 2: Ankle Injuries</t>
        </is>
      </c>
    </row>
    <row r="67">
      <c r="B67">
        <f>IF(COUNTIF(MedicalData[Specific injuries treated],"*Ankle*")&gt;=5,"⚠ HIGH: "&amp;COUNTIF(MedicalData[Specific injuries treated],"*Ankle*")&amp;" ankle injuries detected. Implement preventive measures.","✓ Ankle injury rate acceptable")</f>
        <v/>
      </c>
    </row>
    <row r="69">
      <c r="A69" t="inlineStr">
        <is>
          <t>Alert 3: Player Contact</t>
        </is>
      </c>
    </row>
    <row r="70">
      <c r="B70">
        <f>IF(COUNTIF(MedicalData[History/Mechanism of injury],"Player-to-Player")&gt;=5,"⚠ ALERT: "&amp;COUNTIF(MedicalData[History/Mechanism of injury],"Player-to-Player")&amp;" player-to-player incidents. Review supervision.","✓ Player contact incidents within normal range")</f>
        <v/>
      </c>
    </row>
    <row r="72">
      <c r="A72" t="inlineStr">
        <is>
          <t>Alert 4: Minor Involvement</t>
        </is>
      </c>
    </row>
    <row r="73">
      <c r="B73">
        <f>IF(COUNTIFS(MedicalData[Age],"&lt;18")&gt;=4,"ℹ INFO: "&amp;COUNTIFS(MedicalData[Age],"&lt;18")&amp;" incidents involved minors. Ensure age-appropriate safety.","✓ Minor involvement acceptable")</f>
        <v/>
      </c>
    </row>
    <row r="76" ht="21" customHeight="1" s="21">
      <c r="A76" s="22" t="inlineStr">
        <is>
          <t>📋 SAFETY RECOMMENDATIONS</t>
        </is>
      </c>
    </row>
    <row r="78">
      <c r="A78" s="1" t="inlineStr">
        <is>
          <t>IMMEDIATE ACTIONS</t>
        </is>
      </c>
      <c r="H78" s="1" t="inlineStr">
        <is>
          <t>PREVENTIVE MEASURES</t>
        </is>
      </c>
    </row>
    <row r="79">
      <c r="A79" t="inlineStr">
        <is>
          <t>• Increase supervision at highest-risk venue</t>
        </is>
      </c>
      <c r="H79" t="inlineStr">
        <is>
          <t>• Mandatory warm-up demonstrations</t>
        </is>
      </c>
    </row>
    <row r="80">
      <c r="A80" t="inlineStr">
        <is>
          <t>• Review ankle support equipment</t>
        </is>
      </c>
      <c r="H80" t="inlineStr">
        <is>
          <t>• Pre-activity equipment checks</t>
        </is>
      </c>
    </row>
    <row r="81">
      <c r="A81" t="inlineStr">
        <is>
          <t>• Enhanced safety briefings</t>
        </is>
      </c>
      <c r="H81" t="inlineStr">
        <is>
          <t>• Surface inspection protocols</t>
        </is>
      </c>
    </row>
    <row r="82">
      <c r="A82" t="inlineStr">
        <is>
          <t>• Install additional signage</t>
        </is>
      </c>
      <c r="H82" t="inlineStr">
        <is>
          <t>• Age-appropriate activity segregation</t>
        </is>
      </c>
    </row>
    <row r="83">
      <c r="A83" t="inlineStr">
        <is>
          <t>• Conduct facility safety audit</t>
        </is>
      </c>
      <c r="H83" t="inlineStr">
        <is>
          <t>• Monthly safety training</t>
        </is>
      </c>
    </row>
    <row r="84">
      <c r="A84" t="inlineStr">
        <is>
          <t>• Review incident response times</t>
        </is>
      </c>
      <c r="H84" t="inlineStr">
        <is>
          <t>• Update emergency procedures</t>
        </is>
      </c>
    </row>
    <row r="88">
      <c r="A88" s="40">
        <f>IF(B4="Weekly","WEEKLY BREAKDOWN: "&amp;E4&amp;" - "&amp;H4,IF(B4="Monthly","MONTHLY BREAKDOWN: "&amp;E4,"QUARTERLY BREAKDOWN: "&amp;K4))</f>
        <v/>
      </c>
    </row>
    <row r="89">
      <c r="A89" s="41" t="n"/>
    </row>
    <row r="90">
      <c r="A90" s="42" t="inlineStr">
        <is>
          <t>Day/Week</t>
        </is>
      </c>
      <c r="B90" s="42" t="inlineStr">
        <is>
          <t>Incidents</t>
        </is>
      </c>
      <c r="C90" s="42" t="inlineStr">
        <is>
          <t>Ambulance</t>
        </is>
      </c>
      <c r="D90" s="42" t="inlineStr">
        <is>
          <t>Avg Age</t>
        </is>
      </c>
      <c r="E90" s="42" t="inlineStr">
        <is>
          <t>Top Injury</t>
        </is>
      </c>
      <c r="F90" s="42" t="inlineStr">
        <is>
          <t>Top Venue</t>
        </is>
      </c>
      <c r="G90" s="42" t="inlineStr">
        <is>
          <t>Top Mechanism</t>
        </is>
      </c>
    </row>
    <row r="91">
      <c r="A91">
        <f>IF(B4="Weekly","Monday",IF(B4="Monthly","Week 1",IF(B4="Quarterly",IF(1&gt;3,"","Month 1"),"1")))</f>
        <v/>
      </c>
      <c r="B91">
        <f>IF(B4="Weekly",SUMPRODUCT((MedicalData[Month]=E4)*(INT((DAY(MedicalData[Date])-1)/7)+1=$M$4)*(WEEKDAY(MedicalData[Date],2)=1)*1),IF(B4="Monthly",SUMPRODUCT((MedicalData[Month]=E4)*(INT((DAY(MedicalData[Date])-1)/7)+1=1)*1),IF(B4="Quarterly",IF(1&gt;3,"",COUNTIF(MedicalData[Quarter],K4)),0)))</f>
        <v/>
      </c>
      <c r="C91">
        <f>IF(B4="Weekly",SUMPRODUCT((MedicalData[Month]=E4)*(INT((DAY(MedicalData[Date])-1)/7)+1=$M$4)*(WEEKDAY(MedicalData[Date],2)=1)*(MedicalData[Hospital Transportation]="Yes")*1),IF(B4="Monthly",SUMPRODUCT((MedicalData[Month]=E4)*(INT((DAY(MedicalData[Date])-1)/7)+1=1)*(MedicalData[Hospital Transportation]="Yes")*1),IF(B4="Quarterly",IF(1&gt;3,"",COUNTIFS(MedicalData[Quarter],K4,MedicalData[Hospital Transportation],"Yes")),0)))</f>
        <v/>
      </c>
      <c r="D91">
        <f>IF(OR(B91=0,B91=""),"-",IFERROR(ROUND(AVERAGEIF(MedicalData[Month],E4,MedicalData[Age]),0),"-"))</f>
        <v/>
      </c>
      <c r="E91">
        <f>IF(OR(B91=0,B91=""),"-","-")</f>
        <v/>
      </c>
      <c r="F91">
        <f>IF(OR(B91=0,B91=""),"-","-")</f>
        <v/>
      </c>
      <c r="G91">
        <f>IF(OR(B91=0,B91=""),"-","-")</f>
        <v/>
      </c>
    </row>
    <row r="92">
      <c r="A92">
        <f>IF(B4="Weekly","Tuesday",IF(B4="Monthly","Week 2",IF(B4="Quarterly",IF(2&gt;3,"","Month 2"),"2")))</f>
        <v/>
      </c>
      <c r="B92">
        <f>IF(B4="Weekly",SUMPRODUCT((MedicalData[Month]=E4)*(INT((DAY(MedicalData[Date])-1)/7)+1=$M$4)*(WEEKDAY(MedicalData[Date],2)=2)*1),IF(B4="Monthly",SUMPRODUCT((MedicalData[Month]=E4)*(INT((DAY(MedicalData[Date])-1)/7)+1=2)*1),IF(B4="Quarterly",IF(2&gt;3,"",COUNTIF(MedicalData[Quarter],K4)),0)))</f>
        <v/>
      </c>
      <c r="C92">
        <f>IF(B4="Weekly",SUMPRODUCT((MedicalData[Month]=E4)*(INT((DAY(MedicalData[Date])-1)/7)+1=$M$4)*(WEEKDAY(MedicalData[Date],2)=2)*(MedicalData[Hospital Transportation]="Yes")*1),IF(B4="Monthly",SUMPRODUCT((MedicalData[Month]=E4)*(INT((DAY(MedicalData[Date])-1)/7)+1=2)*(MedicalData[Hospital Transportation]="Yes")*1),IF(B4="Quarterly",IF(2&gt;3,"",COUNTIFS(MedicalData[Quarter],K4,MedicalData[Hospital Transportation],"Yes")),0)))</f>
        <v/>
      </c>
      <c r="D92">
        <f>IF(OR(B92=0,B92=""),"-",IFERROR(ROUND(AVERAGEIF(MedicalData[Month],E4,MedicalData[Age]),0),"-"))</f>
        <v/>
      </c>
      <c r="E92">
        <f>IF(OR(B92=0,B92=""),"-","-")</f>
        <v/>
      </c>
      <c r="F92">
        <f>IF(OR(B92=0,B92=""),"-","-")</f>
        <v/>
      </c>
      <c r="G92">
        <f>IF(OR(B92=0,B92=""),"-","-")</f>
        <v/>
      </c>
    </row>
    <row r="93">
      <c r="A93">
        <f>IF(B4="Weekly","Wednesday",IF(B4="Monthly","Week 3",IF(B4="Quarterly",IF(3&gt;3,"","Month 3"),"3")))</f>
        <v/>
      </c>
      <c r="B93">
        <f>IF(B4="Weekly",SUMPRODUCT((MedicalData[Month]=E4)*(INT((DAY(MedicalData[Date])-1)/7)+1=$M$4)*(WEEKDAY(MedicalData[Date],2)=3)*1),IF(B4="Monthly",SUMPRODUCT((MedicalData[Month]=E4)*(INT((DAY(MedicalData[Date])-1)/7)+1=3)*1),IF(B4="Quarterly",IF(3&gt;3,"",COUNTIF(MedicalData[Quarter],K4)),0)))</f>
        <v/>
      </c>
      <c r="C93">
        <f>IF(B4="Weekly",SUMPRODUCT((MedicalData[Month]=E4)*(INT((DAY(MedicalData[Date])-1)/7)+1=$M$4)*(WEEKDAY(MedicalData[Date],2)=3)*(MedicalData[Hospital Transportation]="Yes")*1),IF(B4="Monthly",SUMPRODUCT((MedicalData[Month]=E4)*(INT((DAY(MedicalData[Date])-1)/7)+1=3)*(MedicalData[Hospital Transportation]="Yes")*1),IF(B4="Quarterly",IF(3&gt;3,"",COUNTIFS(MedicalData[Quarter],K4,MedicalData[Hospital Transportation],"Yes")),0)))</f>
        <v/>
      </c>
      <c r="D93">
        <f>IF(OR(B93=0,B93=""),"-",IFERROR(ROUND(AVERAGEIF(MedicalData[Month],E4,MedicalData[Age]),0),"-"))</f>
        <v/>
      </c>
      <c r="E93">
        <f>IF(OR(B93=0,B93=""),"-","-")</f>
        <v/>
      </c>
      <c r="F93">
        <f>IF(OR(B93=0,B93=""),"-","-")</f>
        <v/>
      </c>
      <c r="G93">
        <f>IF(OR(B93=0,B93=""),"-","-")</f>
        <v/>
      </c>
    </row>
    <row r="94">
      <c r="A94">
        <f>IF(B4="Weekly","Thursday",IF(B4="Monthly","Week 4",IF(B4="Quarterly",IF(4&gt;3,"","Month 4"),"4")))</f>
        <v/>
      </c>
      <c r="B94">
        <f>IF(B4="Weekly",SUMPRODUCT((MedicalData[Month]=E4)*(INT((DAY(MedicalData[Date])-1)/7)+1=$M$4)*(WEEKDAY(MedicalData[Date],2)=4)*1),IF(B4="Monthly",SUMPRODUCT((MedicalData[Month]=E4)*(INT((DAY(MedicalData[Date])-1)/7)+1=4)*1),IF(B4="Quarterly",IF(4&gt;3,"",COUNTIF(MedicalData[Quarter],K4)),0)))</f>
        <v/>
      </c>
      <c r="C94">
        <f>IF(B4="Weekly",SUMPRODUCT((MedicalData[Month]=E4)*(INT((DAY(MedicalData[Date])-1)/7)+1=$M$4)*(WEEKDAY(MedicalData[Date],2)=4)*(MedicalData[Hospital Transportation]="Yes")*1),IF(B4="Monthly",SUMPRODUCT((MedicalData[Month]=E4)*(INT((DAY(MedicalData[Date])-1)/7)+1=4)*(MedicalData[Hospital Transportation]="Yes")*1),IF(B4="Quarterly",IF(4&gt;3,"",COUNTIFS(MedicalData[Quarter],K4,MedicalData[Hospital Transportation],"Yes")),0)))</f>
        <v/>
      </c>
      <c r="D94">
        <f>IF(OR(B94=0,B94=""),"-",IFERROR(ROUND(AVERAGEIF(MedicalData[Month],E4,MedicalData[Age]),0),"-"))</f>
        <v/>
      </c>
      <c r="E94">
        <f>IF(OR(B94=0,B94=""),"-","-")</f>
        <v/>
      </c>
      <c r="F94">
        <f>IF(OR(B94=0,B94=""),"-","-")</f>
        <v/>
      </c>
      <c r="G94">
        <f>IF(OR(B94=0,B94=""),"-","-")</f>
        <v/>
      </c>
    </row>
    <row r="95">
      <c r="A95">
        <f>IF(B4="Weekly","Friday",IF(B4="Monthly","Week 5",IF(B4="Quarterly",IF(5&gt;3,"","Month 5"),"5")))</f>
        <v/>
      </c>
      <c r="B95">
        <f>IF(B4="Weekly",SUMPRODUCT((MedicalData[Month]=E4)*(INT((DAY(MedicalData[Date])-1)/7)+1=$M$4)*(WEEKDAY(MedicalData[Date],2)=5)*1),IF(B4="Monthly",SUMPRODUCT((MedicalData[Month]=E4)*(INT((DAY(MedicalData[Date])-1)/7)+1=5)*1),IF(B4="Quarterly",IF(5&gt;3,"",COUNTIF(MedicalData[Quarter],K4)),0)))</f>
        <v/>
      </c>
      <c r="C95">
        <f>IF(B4="Weekly",SUMPRODUCT((MedicalData[Month]=E4)*(INT((DAY(MedicalData[Date])-1)/7)+1=$M$4)*(WEEKDAY(MedicalData[Date],2)=5)*(MedicalData[Hospital Transportation]="Yes")*1),IF(B4="Monthly",SUMPRODUCT((MedicalData[Month]=E4)*(INT((DAY(MedicalData[Date])-1)/7)+1=5)*(MedicalData[Hospital Transportation]="Yes")*1),IF(B4="Quarterly",IF(5&gt;3,"",COUNTIFS(MedicalData[Quarter],K4,MedicalData[Hospital Transportation],"Yes")),0)))</f>
        <v/>
      </c>
      <c r="D95">
        <f>IF(OR(B95=0,B95=""),"-",IFERROR(ROUND(AVERAGEIF(MedicalData[Month],E4,MedicalData[Age]),0),"-"))</f>
        <v/>
      </c>
      <c r="E95">
        <f>IF(OR(B95=0,B95=""),"-","-")</f>
        <v/>
      </c>
      <c r="F95">
        <f>IF(OR(B95=0,B95=""),"-","-")</f>
        <v/>
      </c>
      <c r="G95">
        <f>IF(OR(B95=0,B95=""),"-","-")</f>
        <v/>
      </c>
    </row>
    <row r="96">
      <c r="A96" s="30" t="inlineStr">
        <is>
          <t>TOTAL</t>
        </is>
      </c>
      <c r="B96" s="30">
        <f>SUM(B91:B95)</f>
        <v/>
      </c>
      <c r="C96" s="30">
        <f>SUM(C91:C95)</f>
        <v/>
      </c>
      <c r="D96">
        <f>IFERROR(ROUND(IF(B4="Monthly",AVERAGEIF(MedicalData[Month],E4,MedicalData[Age]),IF(B4="Quarterly",AVERAGEIF(MedicalData[Quarter],K4,MedicalData[Age]),AVERAGE(MedicalData[Age]))),0),"-")</f>
        <v/>
      </c>
    </row>
    <row r="100">
      <c r="A100" s="40">
        <f>IF(B4="Quarterly","QUARTERLY COMPARISON",IF(B4="Monthly","MONTHLY TRENDS","PERIOD ANALYSIS"))</f>
        <v/>
      </c>
    </row>
    <row r="101">
      <c r="B101" s="33" t="n"/>
    </row>
    <row r="102">
      <c r="A102" s="42" t="inlineStr">
        <is>
          <t>Period</t>
        </is>
      </c>
      <c r="B102" s="42" t="inlineStr">
        <is>
          <t>Incidents</t>
        </is>
      </c>
      <c r="C102" s="42" t="inlineStr">
        <is>
          <t>Ambulance</t>
        </is>
      </c>
      <c r="D102" s="42" t="inlineStr">
        <is>
          <t>Avg Age</t>
        </is>
      </c>
      <c r="E102" s="42" t="inlineStr">
        <is>
          <t>vs Previous</t>
        </is>
      </c>
    </row>
    <row r="103">
      <c r="A103" s="42" t="inlineStr">
        <is>
          <t>Q1</t>
        </is>
      </c>
      <c r="B103" s="42">
        <f>COUNTIF(MedicalData[Quarter],A103)</f>
        <v/>
      </c>
      <c r="C103" s="42">
        <f>COUNTIFS(MedicalData[Quarter],A103,MedicalData[Hospital Transportation],"Yes")</f>
        <v/>
      </c>
      <c r="D103" s="42">
        <f>IFERROR(ROUND(AVERAGEIF(MedicalData[Quarter],A103,MedicalData[Age]),0),"-")</f>
        <v/>
      </c>
      <c r="E103" s="42" t="n"/>
      <c r="F103" s="42" t="n"/>
    </row>
    <row r="104">
      <c r="A104" t="inlineStr">
        <is>
          <t>Q2</t>
        </is>
      </c>
      <c r="B104">
        <f>COUNTIF(MedicalData[Quarter],A104)</f>
        <v/>
      </c>
      <c r="C104">
        <f>COUNTIFS(MedicalData[Quarter],A104,MedicalData[Hospital Transportation],"Yes")</f>
        <v/>
      </c>
      <c r="D104">
        <f>IFERROR(ROUND(AVERAGEIF(MedicalData[Quarter],A104,MedicalData[Age]),0),"-")</f>
        <v/>
      </c>
      <c r="E104">
        <f>IF(B103=0,"-",TEXT((B104-B103)/B103,"+0%;-0%"))</f>
        <v/>
      </c>
      <c r="F104" s="30" t="n"/>
    </row>
    <row r="105">
      <c r="A105" t="inlineStr">
        <is>
          <t>Q3</t>
        </is>
      </c>
      <c r="B105">
        <f>COUNTIF(MedicalData[Quarter],A105)</f>
        <v/>
      </c>
      <c r="C105">
        <f>COUNTIFS(MedicalData[Quarter],A105,MedicalData[Hospital Transportation],"Yes")</f>
        <v/>
      </c>
      <c r="D105">
        <f>IFERROR(ROUND(AVERAGEIF(MedicalData[Quarter],A105,MedicalData[Age]),0),"-")</f>
        <v/>
      </c>
      <c r="E105">
        <f>IF(B104=0,"-",TEXT((B105-B104)/B104,"+0%;-0%"))</f>
        <v/>
      </c>
      <c r="F105" s="30" t="n"/>
    </row>
    <row r="106">
      <c r="A106" t="inlineStr">
        <is>
          <t>Q4</t>
        </is>
      </c>
      <c r="B106">
        <f>COUNTIF(MedicalData[Quarter],A106)</f>
        <v/>
      </c>
      <c r="C106">
        <f>COUNTIFS(MedicalData[Quarter],A106,MedicalData[Hospital Transportation],"Yes")</f>
        <v/>
      </c>
      <c r="D106">
        <f>IFERROR(ROUND(AVERAGEIF(MedicalData[Quarter],A106,MedicalData[Age]),0),"-")</f>
        <v/>
      </c>
      <c r="E106">
        <f>IF(B105=0,"-",TEXT((B106-B105)/B105,"+0%;-0%"))</f>
        <v/>
      </c>
      <c r="F106" s="30" t="n"/>
    </row>
    <row r="107">
      <c r="A107" s="30" t="inlineStr">
        <is>
          <t>YTD TOTAL</t>
        </is>
      </c>
      <c r="B107" s="30">
        <f>SUM(B103:B106)</f>
        <v/>
      </c>
      <c r="C107" s="30">
        <f>SUM(C103:C106)</f>
        <v/>
      </c>
      <c r="D107">
        <f>IFERROR(ROUND(AVERAGE(MedicalData[Age]),0),"-")</f>
        <v/>
      </c>
      <c r="F107" s="30" t="n"/>
    </row>
    <row r="109">
      <c r="A109" s="43" t="n"/>
    </row>
  </sheetData>
  <mergeCells count="2">
    <mergeCell ref="A76:N76"/>
    <mergeCell ref="A61:N61"/>
  </mergeCells>
  <dataValidations count="4">
    <dataValidation sqref="B4" showDropDown="0" showInputMessage="0" showErrorMessage="0" allowBlank="0" errorTitle="Invalid Selection" error="Select: Monthly, Weekly, or Quarterly" type="list">
      <formula1>=Lists!$G$2:$G$4</formula1>
    </dataValidation>
    <dataValidation sqref="E4" showDropDown="0" showInputMessage="0" showErrorMessage="0" allowBlank="0" error="Select a valid month" type="list">
      <formula1>=Lists!$E$2:$E$26</formula1>
    </dataValidation>
    <dataValidation sqref="H4" showDropDown="0" showInputMessage="0" showErrorMessage="0" allowBlank="0" error="Select Week 1-5" type="list">
      <formula1>=Lists!$H$2:$H$6</formula1>
    </dataValidation>
    <dataValidation sqref="K4" showDropDown="0" showInputMessage="0" showErrorMessage="0" allowBlank="0" error="Select Q1, Q2, Q3, or Q4" type="list">
      <formula1>=Lists!$I$2:$I$5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24" sqref="A24"/>
    </sheetView>
  </sheetViews>
  <sheetFormatPr baseColWidth="8" defaultRowHeight="15"/>
  <cols>
    <col width="12" customWidth="1" style="21" min="1" max="1"/>
    <col width="12" customWidth="1" style="21" min="2" max="2"/>
    <col width="12" customWidth="1" style="21" min="3" max="3"/>
    <col width="10" customWidth="1" style="21" min="4" max="4"/>
  </cols>
  <sheetData>
    <row r="1" ht="21" customHeight="1" s="21">
      <c r="A1" s="37" t="inlineStr">
        <is>
          <t>MONTHLY STATISTICS</t>
        </is>
      </c>
    </row>
    <row r="2">
      <c r="A2" t="inlineStr">
        <is>
          <t>Period:</t>
        </is>
      </c>
      <c r="B2" s="30">
        <f>Dashboard!B7</f>
        <v/>
      </c>
    </row>
    <row r="3">
      <c r="A3" s="38" t="inlineStr">
        <is>
          <t>Month</t>
        </is>
      </c>
      <c r="B3" s="38" t="inlineStr">
        <is>
          <t>Total Cases</t>
        </is>
      </c>
      <c r="C3" s="38" t="inlineStr">
        <is>
          <t>Ambulance</t>
        </is>
      </c>
      <c r="D3" s="38" t="inlineStr">
        <is>
          <t>Avg Age</t>
        </is>
      </c>
      <c r="E3" s="30" t="inlineStr">
        <is>
          <t>Selected</t>
        </is>
      </c>
    </row>
    <row r="4">
      <c r="A4" s="14" t="inlineStr">
        <is>
          <t>Jan-24</t>
        </is>
      </c>
      <c r="B4">
        <f>COUNTIF(MedicalData[Month],A4)</f>
        <v/>
      </c>
      <c r="C4">
        <f>COUNTIFS(MedicalData[Month],A4,MedicalData[Hospital Transportation],"Yes")</f>
        <v/>
      </c>
      <c r="D4">
        <f>IFERROR(ROUND(AVERAGEIF(MedicalData[Month],A4,MedicalData[Age]),0),"")</f>
        <v/>
      </c>
      <c r="E4">
        <f>IF(A4=Dashboard!E4,"►","")</f>
        <v/>
      </c>
    </row>
    <row r="5">
      <c r="A5" s="14" t="inlineStr">
        <is>
          <t>Feb-24</t>
        </is>
      </c>
      <c r="B5">
        <f>COUNTIF(MedicalData[Month],A5)</f>
        <v/>
      </c>
      <c r="C5">
        <f>COUNTIFS(MedicalData[Month],A5,MedicalData[Hospital Transportation],"Yes")</f>
        <v/>
      </c>
      <c r="D5">
        <f>IFERROR(ROUND(AVERAGEIF(MedicalData[Month],A5,MedicalData[Age]),0),"")</f>
        <v/>
      </c>
      <c r="E5">
        <f>IF(A5=Dashboard!E4,"►","")</f>
        <v/>
      </c>
    </row>
    <row r="6">
      <c r="A6" s="14" t="inlineStr">
        <is>
          <t>Mar-24</t>
        </is>
      </c>
      <c r="B6">
        <f>COUNTIF(MedicalData[Month],A6)</f>
        <v/>
      </c>
      <c r="C6">
        <f>COUNTIFS(MedicalData[Month],A6,MedicalData[Hospital Transportation],"Yes")</f>
        <v/>
      </c>
      <c r="D6">
        <f>IFERROR(ROUND(AVERAGEIF(MedicalData[Month],A6,MedicalData[Age]),0),"")</f>
        <v/>
      </c>
      <c r="E6">
        <f>IF(A6=Dashboard!E4,"►","")</f>
        <v/>
      </c>
    </row>
    <row r="7">
      <c r="A7" s="14" t="inlineStr">
        <is>
          <t>Apr-24</t>
        </is>
      </c>
      <c r="B7">
        <f>COUNTIF(MedicalData[Month],A7)</f>
        <v/>
      </c>
      <c r="C7">
        <f>COUNTIFS(MedicalData[Month],A7,MedicalData[Hospital Transportation],"Yes")</f>
        <v/>
      </c>
      <c r="D7">
        <f>IFERROR(ROUND(AVERAGEIF(MedicalData[Month],A7,MedicalData[Age]),0),"")</f>
        <v/>
      </c>
      <c r="E7">
        <f>IF(A7=Dashboard!E4,"►","")</f>
        <v/>
      </c>
    </row>
    <row r="8">
      <c r="A8" s="14" t="inlineStr">
        <is>
          <t>May-24</t>
        </is>
      </c>
      <c r="B8">
        <f>COUNTIF(MedicalData[Month],A8)</f>
        <v/>
      </c>
      <c r="C8">
        <f>COUNTIFS(MedicalData[Month],A8,MedicalData[Hospital Transportation],"Yes")</f>
        <v/>
      </c>
      <c r="D8">
        <f>IFERROR(ROUND(AVERAGEIF(MedicalData[Month],A8,MedicalData[Age]),0),"")</f>
        <v/>
      </c>
      <c r="E8">
        <f>IF(A8=Dashboard!E4,"►","")</f>
        <v/>
      </c>
    </row>
    <row r="9">
      <c r="A9" s="14" t="inlineStr">
        <is>
          <t>Jun-24</t>
        </is>
      </c>
      <c r="B9">
        <f>COUNTIF(MedicalData[Month],A9)</f>
        <v/>
      </c>
      <c r="C9">
        <f>COUNTIFS(MedicalData[Month],A9,MedicalData[Hospital Transportation],"Yes")</f>
        <v/>
      </c>
      <c r="D9">
        <f>IFERROR(ROUND(AVERAGEIF(MedicalData[Month],A9,MedicalData[Age]),0),"")</f>
        <v/>
      </c>
      <c r="E9">
        <f>IF(A9=Dashboard!E4,"►","")</f>
        <v/>
      </c>
    </row>
    <row r="10">
      <c r="A10" s="14" t="inlineStr">
        <is>
          <t>Jul-24</t>
        </is>
      </c>
      <c r="B10">
        <f>COUNTIF(MedicalData[Month],A10)</f>
        <v/>
      </c>
      <c r="C10">
        <f>COUNTIFS(MedicalData[Month],A10,MedicalData[Hospital Transportation],"Yes")</f>
        <v/>
      </c>
      <c r="D10">
        <f>IFERROR(ROUND(AVERAGEIF(MedicalData[Month],A10,MedicalData[Age]),0),"")</f>
        <v/>
      </c>
      <c r="E10">
        <f>IF(A10=Dashboard!E4,"►","")</f>
        <v/>
      </c>
    </row>
    <row r="11">
      <c r="A11" s="14" t="inlineStr">
        <is>
          <t>Aug-24</t>
        </is>
      </c>
      <c r="B11">
        <f>COUNTIF(MedicalData[Month],A11)</f>
        <v/>
      </c>
      <c r="C11">
        <f>COUNTIFS(MedicalData[Month],A11,MedicalData[Hospital Transportation],"Yes")</f>
        <v/>
      </c>
      <c r="D11">
        <f>IFERROR(ROUND(AVERAGEIF(MedicalData[Month],A11,MedicalData[Age]),0),"")</f>
        <v/>
      </c>
      <c r="E11">
        <f>IF(A11=Dashboard!E4,"►","")</f>
        <v/>
      </c>
    </row>
    <row r="12">
      <c r="A12" s="14" t="inlineStr">
        <is>
          <t>Sep-24</t>
        </is>
      </c>
      <c r="B12">
        <f>COUNTIF(MedicalData[Month],A12)</f>
        <v/>
      </c>
      <c r="C12">
        <f>COUNTIFS(MedicalData[Month],A12,MedicalData[Hospital Transportation],"Yes")</f>
        <v/>
      </c>
      <c r="D12">
        <f>IFERROR(ROUND(AVERAGEIF(MedicalData[Month],A12,MedicalData[Age]),0),"")</f>
        <v/>
      </c>
      <c r="E12">
        <f>IF(A12=Dashboard!E4,"►","")</f>
        <v/>
      </c>
    </row>
    <row r="13">
      <c r="A13" s="14" t="inlineStr">
        <is>
          <t>Oct-24</t>
        </is>
      </c>
      <c r="B13">
        <f>COUNTIF(MedicalData[Month],A13)</f>
        <v/>
      </c>
      <c r="C13">
        <f>COUNTIFS(MedicalData[Month],A13,MedicalData[Hospital Transportation],"Yes")</f>
        <v/>
      </c>
      <c r="D13">
        <f>IFERROR(ROUND(AVERAGEIF(MedicalData[Month],A13,MedicalData[Age]),0),"")</f>
        <v/>
      </c>
      <c r="E13">
        <f>IF(A13=Dashboard!E4,"►","")</f>
        <v/>
      </c>
    </row>
    <row r="14">
      <c r="A14" s="14" t="inlineStr">
        <is>
          <t>Nov-24</t>
        </is>
      </c>
      <c r="B14">
        <f>COUNTIF(MedicalData[Month],A14)</f>
        <v/>
      </c>
      <c r="C14">
        <f>COUNTIFS(MedicalData[Month],A14,MedicalData[Hospital Transportation],"Yes")</f>
        <v/>
      </c>
      <c r="D14">
        <f>IFERROR(ROUND(AVERAGEIF(MedicalData[Month],A14,MedicalData[Age]),0),"")</f>
        <v/>
      </c>
      <c r="E14">
        <f>IF(A14=Dashboard!E4,"►","")</f>
        <v/>
      </c>
    </row>
    <row r="15">
      <c r="A15" s="14" t="inlineStr">
        <is>
          <t>Dec-24</t>
        </is>
      </c>
      <c r="B15">
        <f>COUNTIF(MedicalData[Month],A15)</f>
        <v/>
      </c>
      <c r="C15">
        <f>COUNTIFS(MedicalData[Month],A15,MedicalData[Hospital Transportation],"Yes")</f>
        <v/>
      </c>
      <c r="D15">
        <f>IFERROR(ROUND(AVERAGEIF(MedicalData[Month],A15,MedicalData[Age]),0),"")</f>
        <v/>
      </c>
      <c r="E15">
        <f>IF(A15=Dashboard!E4,"►","")</f>
        <v/>
      </c>
    </row>
    <row r="16">
      <c r="A16" t="inlineStr">
        <is>
          <t>Jan-25</t>
        </is>
      </c>
      <c r="B16">
        <f>COUNTIF(MedicalData[Month],A16)</f>
        <v/>
      </c>
      <c r="C16">
        <f>COUNTIFS(MedicalData[Month],A16,MedicalData[Hospital Transportation],"Yes")</f>
        <v/>
      </c>
      <c r="D16">
        <f>IFERROR(ROUND(AVERAGEIF(MedicalData[Month],A16,MedicalData[Age]),0),"")</f>
        <v/>
      </c>
      <c r="E16">
        <f>IF(A16=Dashboard!E4,"►","")</f>
        <v/>
      </c>
    </row>
    <row r="17">
      <c r="A17" t="inlineStr">
        <is>
          <t>Feb-25</t>
        </is>
      </c>
      <c r="B17">
        <f>COUNTIF(MedicalData[Month],A17)</f>
        <v/>
      </c>
      <c r="C17">
        <f>COUNTIFS(MedicalData[Month],A17,MedicalData[Hospital Transportation],"Yes")</f>
        <v/>
      </c>
      <c r="D17">
        <f>IFERROR(ROUND(AVERAGEIF(MedicalData[Month],A17,MedicalData[Age]),0),"")</f>
        <v/>
      </c>
      <c r="E17">
        <f>IF(A17=Dashboard!E4,"►","")</f>
        <v/>
      </c>
    </row>
    <row r="18">
      <c r="A18" t="inlineStr">
        <is>
          <t>Mar-25</t>
        </is>
      </c>
      <c r="B18">
        <f>COUNTIF(MedicalData[Month],A18)</f>
        <v/>
      </c>
      <c r="C18">
        <f>COUNTIFS(MedicalData[Month],A18,MedicalData[Hospital Transportation],"Yes")</f>
        <v/>
      </c>
      <c r="D18">
        <f>IFERROR(ROUND(AVERAGEIF(MedicalData[Month],A18,MedicalData[Age]),0),"")</f>
        <v/>
      </c>
      <c r="E18">
        <f>IF(A18=Dashboard!E4,"►","")</f>
        <v/>
      </c>
    </row>
    <row r="19">
      <c r="A19" t="inlineStr">
        <is>
          <t>Apr-25</t>
        </is>
      </c>
      <c r="B19">
        <f>COUNTIF(MedicalData[Month],A19)</f>
        <v/>
      </c>
      <c r="C19">
        <f>COUNTIFS(MedicalData[Month],A19,MedicalData[Hospital Transportation],"Yes")</f>
        <v/>
      </c>
      <c r="D19">
        <f>IFERROR(ROUND(AVERAGEIF(MedicalData[Month],A19,MedicalData[Age]),0),"")</f>
        <v/>
      </c>
      <c r="E19">
        <f>IF(A19=Dashboard!E4,"►","")</f>
        <v/>
      </c>
    </row>
    <row r="20">
      <c r="A20" t="inlineStr">
        <is>
          <t>May-25</t>
        </is>
      </c>
      <c r="B20">
        <f>COUNTIF(MedicalData[Month],A20)</f>
        <v/>
      </c>
      <c r="C20">
        <f>COUNTIFS(MedicalData[Month],A20,MedicalData[Hospital Transportation],"Yes")</f>
        <v/>
      </c>
      <c r="D20">
        <f>IFERROR(ROUND(AVERAGEIF(MedicalData[Month],A20,MedicalData[Age]),0),"")</f>
        <v/>
      </c>
      <c r="E20">
        <f>IF(A20=Dashboard!E4,"►","")</f>
        <v/>
      </c>
    </row>
    <row r="21">
      <c r="A21" t="inlineStr">
        <is>
          <t>Jun-25</t>
        </is>
      </c>
      <c r="B21">
        <f>COUNTIF(MedicalData[Month],A21)</f>
        <v/>
      </c>
      <c r="C21">
        <f>COUNTIFS(MedicalData[Month],A21,MedicalData[Hospital Transportation],"Yes")</f>
        <v/>
      </c>
      <c r="D21">
        <f>IFERROR(ROUND(AVERAGEIF(MedicalData[Month],A21,MedicalData[Age]),0),"")</f>
        <v/>
      </c>
      <c r="E21">
        <f>IF(A21=Dashboard!E4,"►","")</f>
        <v/>
      </c>
    </row>
    <row r="22">
      <c r="A22" t="inlineStr">
        <is>
          <t>Jul-25</t>
        </is>
      </c>
      <c r="B22">
        <f>COUNTIF(MedicalData[Month],A22)</f>
        <v/>
      </c>
      <c r="C22">
        <f>COUNTIFS(MedicalData[Month],A22,MedicalData[Hospital Transportation],"Yes")</f>
        <v/>
      </c>
      <c r="D22">
        <f>IFERROR(ROUND(AVERAGEIF(MedicalData[Month],A22,MedicalData[Age]),0),"")</f>
        <v/>
      </c>
      <c r="E22">
        <f>IF(A22=Dashboard!E4,"►","")</f>
        <v/>
      </c>
    </row>
    <row r="23">
      <c r="A23" t="inlineStr">
        <is>
          <t>Aug-25</t>
        </is>
      </c>
      <c r="B23">
        <f>COUNTIF(MedicalData[Month],A23)</f>
        <v/>
      </c>
      <c r="C23">
        <f>COUNTIFS(MedicalData[Month],A23,MedicalData[Hospital Transportation],"Yes")</f>
        <v/>
      </c>
      <c r="D23">
        <f>IFERROR(ROUND(AVERAGEIF(MedicalData[Month],A23,MedicalData[Age]),0),"")</f>
        <v/>
      </c>
      <c r="E23">
        <f>IF(A23=Dashboard!E4,"►","")</f>
        <v/>
      </c>
    </row>
    <row r="24">
      <c r="A24" t="inlineStr">
        <is>
          <t>Sep-25</t>
        </is>
      </c>
      <c r="B24">
        <f>COUNTIF(MedicalData[Month],A24)</f>
        <v/>
      </c>
      <c r="C24">
        <f>COUNTIFS(MedicalData[Month],A24,MedicalData[Hospital Transportation],"Yes")</f>
        <v/>
      </c>
      <c r="D24">
        <f>IFERROR(ROUND(AVERAGEIF(MedicalData[Month],A24,MedicalData[Age]),0),"")</f>
        <v/>
      </c>
      <c r="E24">
        <f>IF(A24=Dashboard!E4,"►","")</f>
        <v/>
      </c>
    </row>
    <row r="25">
      <c r="A25" t="inlineStr">
        <is>
          <t>Oct-25</t>
        </is>
      </c>
      <c r="B25">
        <f>COUNTIF(MedicalData[Month],A25)</f>
        <v/>
      </c>
      <c r="C25">
        <f>COUNTIFS(MedicalData[Month],A25,MedicalData[Hospital Transportation],"Yes")</f>
        <v/>
      </c>
      <c r="D25">
        <f>IFERROR(ROUND(AVERAGEIF(MedicalData[Month],A25,MedicalData[Age]),0),"")</f>
        <v/>
      </c>
      <c r="E25">
        <f>IF(A25=Dashboard!E4,"►","")</f>
        <v/>
      </c>
    </row>
    <row r="26">
      <c r="A26" t="inlineStr">
        <is>
          <t>Nov-25</t>
        </is>
      </c>
      <c r="B26">
        <f>COUNTIF(MedicalData[Month],A26)</f>
        <v/>
      </c>
      <c r="C26">
        <f>COUNTIFS(MedicalData[Month],A26,MedicalData[Hospital Transportation],"Yes")</f>
        <v/>
      </c>
      <c r="D26">
        <f>IFERROR(ROUND(AVERAGEIF(MedicalData[Month],A26,MedicalData[Age]),0),"")</f>
        <v/>
      </c>
      <c r="E26">
        <f>IF(A26=Dashboard!E4,"►","")</f>
        <v/>
      </c>
    </row>
    <row r="27">
      <c r="A27" t="inlineStr">
        <is>
          <t>Dec-25</t>
        </is>
      </c>
      <c r="B27">
        <f>COUNTIF(MedicalData[Month],A27)</f>
        <v/>
      </c>
      <c r="C27">
        <f>COUNTIFS(MedicalData[Month],A27,MedicalData[Hospital Transportation],"Yes")</f>
        <v/>
      </c>
      <c r="D27">
        <f>IFERROR(ROUND(AVERAGEIF(MedicalData[Month],A27,MedicalData[Age]),0),"")</f>
        <v/>
      </c>
      <c r="E27">
        <f>IF(A27=Dashboard!E4,"►","")</f>
        <v/>
      </c>
    </row>
  </sheetData>
  <dataValidations count="1">
    <dataValidation sqref="A4:A15" showDropDown="0" showInputMessage="1" showErrorMessage="1" allowBlank="1" type="list">
      <formula1>"Jul-25,Jun-25,May-25,All Time"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E11" sqref="E11"/>
    </sheetView>
  </sheetViews>
  <sheetFormatPr baseColWidth="8" defaultRowHeight="15"/>
  <cols>
    <col width="20" customWidth="1" style="21" min="1" max="1"/>
    <col width="10" customWidth="1" style="21" min="2" max="2"/>
    <col width="12" customWidth="1" style="21" min="3" max="3"/>
    <col width="14" customWidth="1" style="21" min="4" max="4"/>
    <col width="25" customWidth="1" style="21" min="5" max="5"/>
  </cols>
  <sheetData>
    <row r="1" ht="18.75" customHeight="1" s="21">
      <c r="A1" s="37" t="inlineStr">
        <is>
          <t>VENUE RISK ANALYSIS</t>
        </is>
      </c>
    </row>
    <row r="2">
      <c r="A2" t="inlineStr">
        <is>
          <t>Period:</t>
        </is>
      </c>
      <c r="B2" s="30">
        <f>Dashboard!B7</f>
        <v/>
      </c>
    </row>
    <row r="3">
      <c r="A3" s="38" t="inlineStr">
        <is>
          <t>Venue</t>
        </is>
      </c>
      <c r="B3" s="38" t="inlineStr">
        <is>
          <t>Count</t>
        </is>
      </c>
      <c r="C3" s="38" t="inlineStr">
        <is>
          <t>% of Total</t>
        </is>
      </c>
      <c r="D3" s="38" t="inlineStr">
        <is>
          <t>Risk Level</t>
        </is>
      </c>
      <c r="E3" s="38" t="inlineStr">
        <is>
          <t>Status</t>
        </is>
      </c>
    </row>
    <row r="4">
      <c r="A4" t="inlineStr">
        <is>
          <t>Skate Park</t>
        </is>
      </c>
      <c r="B4">
        <f>IF(Dashboard!B4="Weekly",SUMPRODUCT((MedicalData[Month]=Dashboard!E4)*(INT((DAY(MedicalData[Date])-1)/7)+1=Dashboard!$M$4)*(MedicalData[Site]=A4)*1),IF(Dashboard!B4="Monthly",COUNTIFS(MedicalData[Site],A4,MedicalData[Month],Dashboard!E4),IF(Dashboard!B4="Quarterly",COUNTIFS(MedicalData[Site],A4,MedicalData[Quarter],Dashboard!K4),COUNTIF(MedicalData[Site],A4))))</f>
        <v/>
      </c>
      <c r="C4">
        <f>IF(SUM($B$4:$B$19)=0,0,B4/SUM($B$4:$B$19))</f>
        <v/>
      </c>
      <c r="D4">
        <f>IF(B4&gt;=8,"🔴 HIGH",IF(B4&gt;=5,"🟡 MEDIUM","🟢 LOW"))</f>
        <v/>
      </c>
      <c r="E4">
        <f>IF(B4&gt;=8,"Immediate Action Required",IF(B4&gt;=5,"Monitor Closely","Normal"))</f>
        <v/>
      </c>
    </row>
    <row r="5">
      <c r="A5" t="inlineStr">
        <is>
          <t xml:space="preserve">5 A side </t>
        </is>
      </c>
      <c r="B5">
        <f>IF(Dashboard!B4="Weekly",SUMPRODUCT((MedicalData[Month]=Dashboard!E4)*(INT((DAY(MedicalData[Date])-1)/7)+1=Dashboard!$M$4)*(MedicalData[Site]=A5)*1),IF(Dashboard!B4="Monthly",COUNTIFS(MedicalData[Site],A5,MedicalData[Month],Dashboard!E4),IF(Dashboard!B4="Quarterly",COUNTIFS(MedicalData[Site],A5,MedicalData[Quarter],Dashboard!K4),COUNTIF(MedicalData[Site],A5))))</f>
        <v/>
      </c>
      <c r="C5">
        <f>IF(SUM($B$4:$B$19)=0,0,B5/SUM($B$4:$B$19))</f>
        <v/>
      </c>
      <c r="D5">
        <f>IF(B5&gt;=8,"🔴 HIGH",IF(B5&gt;=5,"🟡 MEDIUM","🟢 LOW"))</f>
        <v/>
      </c>
      <c r="E5">
        <f>IF(B5&gt;=8,"Immediate Action Required",IF(B5&gt;=5,"Monitor Closely","Normal"))</f>
        <v/>
      </c>
    </row>
    <row r="6">
      <c r="A6" t="inlineStr">
        <is>
          <t>Basketball</t>
        </is>
      </c>
      <c r="B6">
        <f>IF(Dashboard!B4="Weekly",SUMPRODUCT((MedicalData[Month]=Dashboard!E4)*(INT((DAY(MedicalData[Date])-1)/7)+1=Dashboard!$M$4)*(MedicalData[Site]=A6)*1),IF(Dashboard!B4="Monthly",COUNTIFS(MedicalData[Site],A6,MedicalData[Month],Dashboard!E4),IF(Dashboard!B4="Quarterly",COUNTIFS(MedicalData[Site],A6,MedicalData[Quarter],Dashboard!K4),COUNTIF(MedicalData[Site],A6))))</f>
        <v/>
      </c>
      <c r="C6">
        <f>IF(SUM($B$4:$B$19)=0,0,B6/SUM($B$4:$B$19))</f>
        <v/>
      </c>
      <c r="D6">
        <f>IF(B6&gt;=8,"🔴 HIGH",IF(B6&gt;=5,"🟡 MEDIUM","🟢 LOW"))</f>
        <v/>
      </c>
      <c r="E6">
        <f>IF(B6&gt;=8,"Immediate Action Required",IF(B6&gt;=5,"Monitor Closely","Normal"))</f>
        <v/>
      </c>
    </row>
    <row r="7">
      <c r="A7" t="inlineStr">
        <is>
          <t>Outdoor gym</t>
        </is>
      </c>
      <c r="B7">
        <f>IF(Dashboard!B4="Weekly",SUMPRODUCT((MedicalData[Month]=Dashboard!E4)*(INT((DAY(MedicalData[Date])-1)/7)+1=Dashboard!$M$4)*(MedicalData[Site]=A7)*1),IF(Dashboard!B4="Monthly",COUNTIFS(MedicalData[Site],A7,MedicalData[Month],Dashboard!E4),IF(Dashboard!B4="Quarterly",COUNTIFS(MedicalData[Site],A7,MedicalData[Quarter],Dashboard!K4),COUNTIF(MedicalData[Site],A7))))</f>
        <v/>
      </c>
      <c r="C7">
        <f>IF(SUM($B$4:$B$19)=0,0,B7/SUM($B$4:$B$19))</f>
        <v/>
      </c>
      <c r="D7">
        <f>IF(B7&gt;=8,"🔴 HIGH",IF(B7&gt;=5,"🟡 MEDIUM","🟢 LOW"))</f>
        <v/>
      </c>
      <c r="E7">
        <f>IF(B7&gt;=8,"Immediate Action Required",IF(B7&gt;=5,"Monitor Closely","Normal"))</f>
        <v/>
      </c>
    </row>
    <row r="8">
      <c r="A8" t="inlineStr">
        <is>
          <t xml:space="preserve">JDI Studio </t>
        </is>
      </c>
      <c r="B8">
        <f>IF(Dashboard!B4="Weekly",SUMPRODUCT((MedicalData[Month]=Dashboard!E4)*(INT((DAY(MedicalData[Date])-1)/7)+1=Dashboard!$M$4)*(MedicalData[Site]=A8)*1),IF(Dashboard!B4="Monthly",COUNTIFS(MedicalData[Site],A8,MedicalData[Month],Dashboard!E4),IF(Dashboard!B4="Quarterly",COUNTIFS(MedicalData[Site],A8,MedicalData[Quarter],Dashboard!K4),COUNTIF(MedicalData[Site],A8))))</f>
        <v/>
      </c>
      <c r="C8">
        <f>IF(SUM($B$4:$B$19)=0,0,B8/SUM($B$4:$B$19))</f>
        <v/>
      </c>
      <c r="D8">
        <f>IF(B8&gt;=8,"🔴 HIGH",IF(B8&gt;=5,"🟡 MEDIUM","🟢 LOW"))</f>
        <v/>
      </c>
      <c r="E8">
        <f>IF(B8&gt;=8,"Immediate Action Required",IF(B8&gt;=5,"Monitor Closely","Normal"))</f>
        <v/>
      </c>
    </row>
    <row r="9">
      <c r="A9" t="inlineStr">
        <is>
          <t>PHINDA Studio</t>
        </is>
      </c>
      <c r="B9">
        <f>IF(Dashboard!B4="Weekly",SUMPRODUCT((MedicalData[Month]=Dashboard!E4)*(INT((DAY(MedicalData[Date])-1)/7)+1=Dashboard!$M$4)*(MedicalData[Site]=A9)*1),IF(Dashboard!B4="Monthly",COUNTIFS(MedicalData[Site],A9,MedicalData[Month],Dashboard!E4),IF(Dashboard!B4="Quarterly",COUNTIFS(MedicalData[Site],A9,MedicalData[Quarter],Dashboard!K4),COUNTIF(MedicalData[Site],A9))))</f>
        <v/>
      </c>
      <c r="C9">
        <f>IF(SUM($B$4:$B$19)=0,0,B9/SUM($B$4:$B$19))</f>
        <v/>
      </c>
      <c r="D9">
        <f>IF(B9&gt;=8,"🔴 HIGH",IF(B9&gt;=5,"🟡 MEDIUM","🟢 LOW"))</f>
        <v/>
      </c>
      <c r="E9">
        <f>IF(B9&gt;=8,"Immediate Action Required",IF(B9&gt;=5,"Monitor Closely","Normal"))</f>
        <v/>
      </c>
    </row>
    <row r="10">
      <c r="A10" t="inlineStr">
        <is>
          <t>PHAMBILI Studio</t>
        </is>
      </c>
      <c r="B10">
        <f>IF(Dashboard!B4="Weekly",SUMPRODUCT((MedicalData[Month]=Dashboard!E4)*(INT((DAY(MedicalData[Date])-1)/7)+1=Dashboard!$M$4)*(MedicalData[Site]=A10)*1),IF(Dashboard!B4="Monthly",COUNTIFS(MedicalData[Site],A10,MedicalData[Month],Dashboard!E4),IF(Dashboard!B4="Quarterly",COUNTIFS(MedicalData[Site],A10,MedicalData[Quarter],Dashboard!K4),COUNTIF(MedicalData[Site],A10))))</f>
        <v/>
      </c>
      <c r="C10">
        <f>IF(SUM($B$4:$B$19)=0,0,B10/SUM($B$4:$B$19))</f>
        <v/>
      </c>
      <c r="D10">
        <f>IF(B10&gt;=8,"🔴 HIGH",IF(B10&gt;=5,"🟡 MEDIUM","🟢 LOW"))</f>
        <v/>
      </c>
      <c r="E10">
        <f>IF(B10&gt;=8,"Immediate Action Required",IF(B10&gt;=5,"Monitor Closely","Normal"))</f>
        <v/>
      </c>
    </row>
    <row r="11">
      <c r="A11" t="inlineStr">
        <is>
          <t xml:space="preserve">11- A side </t>
        </is>
      </c>
      <c r="B11">
        <f>IF(Dashboard!B4="Weekly",SUMPRODUCT((MedicalData[Month]=Dashboard!E4)*(INT((DAY(MedicalData[Date])-1)/7)+1=Dashboard!$M$4)*(MedicalData[Site]=A11)*1),IF(Dashboard!B4="Monthly",COUNTIFS(MedicalData[Site],A11,MedicalData[Month],Dashboard!E4),IF(Dashboard!B4="Quarterly",COUNTIFS(MedicalData[Site],A11,MedicalData[Quarter],Dashboard!K4),COUNTIF(MedicalData[Site],A11))))</f>
        <v/>
      </c>
      <c r="C11">
        <f>IF(SUM($B$4:$B$19)=0,0,B11/SUM($B$4:$B$19))</f>
        <v/>
      </c>
      <c r="D11">
        <f>IF(B11&gt;=8,"🔴 HIGH",IF(B11&gt;=5,"🟡 MEDIUM","🟢 LOW"))</f>
        <v/>
      </c>
      <c r="E11">
        <f>IF(B11&gt;=8,"Immediate Action Required",IF(B11&gt;=5,"Monitor Closely","Normal"))</f>
        <v/>
      </c>
    </row>
    <row r="12">
      <c r="A12" t="inlineStr">
        <is>
          <t>Athletics track</t>
        </is>
      </c>
      <c r="B12">
        <f>IF(Dashboard!B4="Weekly",SUMPRODUCT((MedicalData[Month]=Dashboard!E4)*(INT((DAY(MedicalData[Date])-1)/7)+1=Dashboard!$M$4)*(MedicalData[Site]=A12)*1),IF(Dashboard!B4="Monthly",COUNTIFS(MedicalData[Site],A12,MedicalData[Month],Dashboard!E4),IF(Dashboard!B4="Quarterly",COUNTIFS(MedicalData[Site],A12,MedicalData[Quarter],Dashboard!K4),COUNTIF(MedicalData[Site],A12))))</f>
        <v/>
      </c>
      <c r="C12">
        <f>IF(SUM($B$4:$B$19)=0,0,B12/SUM($B$4:$B$19))</f>
        <v/>
      </c>
      <c r="D12">
        <f>IF(B12&gt;=8,"🔴 HIGH",IF(B12&gt;=5,"🟡 MEDIUM","🟢 LOW"))</f>
        <v/>
      </c>
      <c r="E12">
        <f>IF(B12&gt;=8,"Immediate Action Required",IF(B12&gt;=5,"Monitor Closely","Normal"))</f>
        <v/>
      </c>
    </row>
    <row r="13">
      <c r="A13" t="inlineStr">
        <is>
          <t>Registration area</t>
        </is>
      </c>
      <c r="B13">
        <f>IF(Dashboard!B4="Weekly",SUMPRODUCT((MedicalData[Month]=Dashboard!E4)*(INT((DAY(MedicalData[Date])-1)/7)+1=Dashboard!$M$4)*(MedicalData[Site]=A13)*1),IF(Dashboard!B4="Monthly",COUNTIFS(MedicalData[Site],A13,MedicalData[Month],Dashboard!E4),IF(Dashboard!B4="Quarterly",COUNTIFS(MedicalData[Site],A13,MedicalData[Quarter],Dashboard!K4),COUNTIF(MedicalData[Site],A13))))</f>
        <v/>
      </c>
      <c r="C13">
        <f>IF(SUM($B$4:$B$19)=0,0,B13/SUM($B$4:$B$19))</f>
        <v/>
      </c>
      <c r="D13">
        <f>IF(B13&gt;=8,"🔴 HIGH",IF(B13&gt;=5,"🟡 MEDIUM","🟢 LOW"))</f>
        <v/>
      </c>
      <c r="E13">
        <f>IF(B13&gt;=8,"Immediate Action Required",IF(B13&gt;=5,"Monitor Closely","Normal"))</f>
        <v/>
      </c>
    </row>
    <row r="14">
      <c r="A14" t="inlineStr">
        <is>
          <t xml:space="preserve">Car parking </t>
        </is>
      </c>
      <c r="B14">
        <f>IF(Dashboard!B4="Weekly",SUMPRODUCT((MedicalData[Month]=Dashboard!E4)*(INT((DAY(MedicalData[Date])-1)/7)+1=Dashboard!$M$4)*(MedicalData[Site]=A14)*1),IF(Dashboard!B4="Monthly",COUNTIFS(MedicalData[Site],A14,MedicalData[Month],Dashboard!E4),IF(Dashboard!B4="Quarterly",COUNTIFS(MedicalData[Site],A14,MedicalData[Quarter],Dashboard!K4),COUNTIF(MedicalData[Site],A14))))</f>
        <v/>
      </c>
      <c r="C14">
        <f>IF(SUM($B$4:$B$19)=0,0,B14/SUM($B$4:$B$19))</f>
        <v/>
      </c>
      <c r="D14">
        <f>IF(B14&gt;=8,"🔴 HIGH",IF(B14&gt;=5,"🟡 MEDIUM","🟢 LOW"))</f>
        <v/>
      </c>
      <c r="E14">
        <f>IF(B14&gt;=8,"Immediate Action Required",IF(B14&gt;=5,"Monitor Closely","Normal"))</f>
        <v/>
      </c>
    </row>
    <row r="15">
      <c r="A15" t="inlineStr">
        <is>
          <t>Change Rooms</t>
        </is>
      </c>
      <c r="B15">
        <f>IF(Dashboard!B4="Weekly",SUMPRODUCT((MedicalData[Month]=Dashboard!E4)*(INT((DAY(MedicalData[Date])-1)/7)+1=Dashboard!$M$4)*(MedicalData[Site]=A15)*1),IF(Dashboard!B4="Monthly",COUNTIFS(MedicalData[Site],A15,MedicalData[Month],Dashboard!E4),IF(Dashboard!B4="Quarterly",COUNTIFS(MedicalData[Site],A15,MedicalData[Quarter],Dashboard!K4),COUNTIF(MedicalData[Site],A15))))</f>
        <v/>
      </c>
      <c r="C15">
        <f>IF(SUM($B$4:$B$19)=0,0,B15/SUM($B$4:$B$19))</f>
        <v/>
      </c>
      <c r="D15">
        <f>IF(B15&gt;=8,"🔴 HIGH",IF(B15&gt;=5,"🟡 MEDIUM","🟢 LOW"))</f>
        <v/>
      </c>
      <c r="E15">
        <f>IF(B15&gt;=8,"Immediate Action Required",IF(B15&gt;=5,"Monitor Closely","Normal"))</f>
        <v/>
      </c>
    </row>
    <row r="16">
      <c r="A16" t="inlineStr">
        <is>
          <t>Equipment Rooms</t>
        </is>
      </c>
      <c r="B16">
        <f>IF(Dashboard!B4="Weekly",SUMPRODUCT((MedicalData[Month]=Dashboard!E4)*(INT((DAY(MedicalData[Date])-1)/7)+1=Dashboard!$M$4)*(MedicalData[Site]=A16)*1),IF(Dashboard!B4="Monthly",COUNTIFS(MedicalData[Site],A16,MedicalData[Month],Dashboard!E4),IF(Dashboard!B4="Quarterly",COUNTIFS(MedicalData[Site],A16,MedicalData[Quarter],Dashboard!K4),COUNTIF(MedicalData[Site],A16))))</f>
        <v/>
      </c>
      <c r="C16">
        <f>IF(SUM($B$4:$B$19)=0,0,B16/SUM($B$4:$B$19))</f>
        <v/>
      </c>
      <c r="D16">
        <f>IF(B16&gt;=8,"🔴 HIGH",IF(B16&gt;=5,"🟡 MEDIUM","🟢 LOW"))</f>
        <v/>
      </c>
      <c r="E16">
        <f>IF(B16&gt;=8,"Immediate Action Required",IF(B16&gt;=5,"Monitor Closely","Normal"))</f>
        <v/>
      </c>
    </row>
    <row r="17">
      <c r="A17" t="inlineStr">
        <is>
          <t>1KM RUN/WALK PATH</t>
        </is>
      </c>
      <c r="B17">
        <f>IF(Dashboard!B4="Weekly",SUMPRODUCT((MedicalData[Month]=Dashboard!E4)*(INT((DAY(MedicalData[Date])-1)/7)+1=Dashboard!$M$4)*(MedicalData[Site]=A17)*1),IF(Dashboard!B4="Monthly",COUNTIFS(MedicalData[Site],A17,MedicalData[Month],Dashboard!E4),IF(Dashboard!B4="Quarterly",COUNTIFS(MedicalData[Site],A17,MedicalData[Quarter],Dashboard!K4),COUNTIF(MedicalData[Site],A17))))</f>
        <v/>
      </c>
      <c r="C17">
        <f>IF(SUM($B$4:$B$19)=0,0,B17/SUM($B$4:$B$19))</f>
        <v/>
      </c>
      <c r="D17">
        <f>IF(B17&gt;=8,"🔴 HIGH",IF(B17&gt;=5,"🟡 MEDIUM","🟢 LOW"))</f>
        <v/>
      </c>
      <c r="E17">
        <f>IF(B17&gt;=8,"Immediate Action Required",IF(B17&gt;=5,"Monitor Closely","Normal"))</f>
        <v/>
      </c>
    </row>
    <row r="18">
      <c r="A18" t="inlineStr">
        <is>
          <t>Bleachers</t>
        </is>
      </c>
      <c r="B18">
        <f>IF(Dashboard!B4="Weekly",SUMPRODUCT((MedicalData[Month]=Dashboard!E4)*(INT((DAY(MedicalData[Date])-1)/7)+1=Dashboard!$M$4)*(MedicalData[Site]=A18)*1),IF(Dashboard!B4="Monthly",COUNTIFS(MedicalData[Site],A18,MedicalData[Month],Dashboard!E4),IF(Dashboard!B4="Quarterly",COUNTIFS(MedicalData[Site],A18,MedicalData[Quarter],Dashboard!K4),COUNTIF(MedicalData[Site],A18))))</f>
        <v/>
      </c>
      <c r="C18">
        <f>IF(SUM($B$4:$B$19)=0,0,B18/SUM($B$4:$B$19))</f>
        <v/>
      </c>
      <c r="D18">
        <f>IF(B18&gt;=8,"🔴 HIGH",IF(B18&gt;=5,"🟡 MEDIUM","🟢 LOW"))</f>
        <v/>
      </c>
      <c r="E18">
        <f>IF(B18&gt;=8,"Immediate Action Required",IF(B18&gt;=5,"Monitor Closely","Normal"))</f>
        <v/>
      </c>
    </row>
    <row r="19">
      <c r="A19" t="inlineStr">
        <is>
          <t>P GATE</t>
        </is>
      </c>
      <c r="B19">
        <f>IF(Dashboard!B4="Weekly",SUMPRODUCT((MedicalData[Month]=Dashboard!E4)*(INT((DAY(MedicalData[Date])-1)/7)+1=Dashboard!$M$4)*(MedicalData[Site]=A19)*1),IF(Dashboard!B4="Monthly",COUNTIFS(MedicalData[Site],A19,MedicalData[Month],Dashboard!E4),IF(Dashboard!B4="Quarterly",COUNTIFS(MedicalData[Site],A19,MedicalData[Quarter],Dashboard!K4),COUNTIF(MedicalData[Site],A19))))</f>
        <v/>
      </c>
      <c r="C19">
        <f>IF(SUM($B$4:$B$19)=0,0,B19/SUM($B$4:$B$19))</f>
        <v/>
      </c>
      <c r="D19">
        <f>IF(B19&gt;=8,"🔴 HIGH",IF(B19&gt;=5,"🟡 MEDIUM","🟢 LOW"))</f>
        <v/>
      </c>
      <c r="E19">
        <f>IF(B19&gt;=8,"Immediate Action Required",IF(B19&gt;=5,"Monitor Closely","Normal"))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B4" sqref="B4"/>
    </sheetView>
  </sheetViews>
  <sheetFormatPr baseColWidth="8" defaultRowHeight="15"/>
  <cols>
    <col width="15" customWidth="1" style="21" min="1" max="1"/>
    <col width="10" customWidth="1" style="21" min="2" max="2"/>
    <col width="12" customWidth="1" style="21" min="3" max="3"/>
  </cols>
  <sheetData>
    <row r="1" ht="18.75" customHeight="1" s="21">
      <c r="A1" s="37" t="inlineStr">
        <is>
          <t>AGE DISTRIBUTION ANALYSIS</t>
        </is>
      </c>
    </row>
    <row r="2">
      <c r="A2" t="inlineStr">
        <is>
          <t>Period:</t>
        </is>
      </c>
      <c r="B2" s="30">
        <f>Dashboard!B7</f>
        <v/>
      </c>
    </row>
    <row r="3">
      <c r="A3" s="38" t="inlineStr">
        <is>
          <t>Age Group</t>
        </is>
      </c>
      <c r="B3" s="38" t="inlineStr">
        <is>
          <t>Count</t>
        </is>
      </c>
      <c r="C3" s="38" t="inlineStr">
        <is>
          <t>Percentage</t>
        </is>
      </c>
    </row>
    <row r="4">
      <c r="A4" t="inlineStr">
        <is>
          <t>0-12 years</t>
        </is>
      </c>
      <c r="B4">
        <f>IF(Dashboard!B4="Weekly",SUMPRODUCT((MedicalData[Month]=Dashboard!E4)*(INT((DAY(MedicalData[Date])-1)/7)+1=Dashboard!$M$4)*(MedicalData[Age]&gt;=0)*(MedicalData[Age]&lt;=12)*1),IF(Dashboard!B4="Monthly",COUNTIFS(MedicalData[Age],"&gt;=0",MedicalData[Age],"&lt;=12",MedicalData[Month],Dashboard!E4),IF(Dashboard!B4="Quarterly",COUNTIFS(MedicalData[Age],"&gt;=0",MedicalData[Age],"&lt;=12",MedicalData[Quarter],Dashboard!K4),COUNTIFS(MedicalData[Age],"&gt;=0",MedicalData[Age],"&lt;=12"))))</f>
        <v/>
      </c>
      <c r="C4" s="35">
        <f>IF(SUM($B$4:$B$8)=0,0,B4/SUM($B$4:$B$8))</f>
        <v/>
      </c>
    </row>
    <row r="5">
      <c r="A5" t="inlineStr">
        <is>
          <t>13-17 years</t>
        </is>
      </c>
      <c r="B5">
        <f>IF(Dashboard!B4="Weekly",SUMPRODUCT((MedicalData[Month]=Dashboard!E4)*(INT((DAY(MedicalData[Date])-1)/7)+1=Dashboard!$M$4)*(MedicalData[Age]&gt;=13)*(MedicalData[Age]&lt;=17)*1),IF(Dashboard!B4="Monthly",COUNTIFS(MedicalData[Age],"&gt;=13",MedicalData[Age],"&lt;=17",MedicalData[Month],Dashboard!E4),IF(Dashboard!B4="Quarterly",COUNTIFS(MedicalData[Age],"&gt;=13",MedicalData[Age],"&lt;=17",MedicalData[Quarter],Dashboard!K4),COUNTIFS(MedicalData[Age],"&gt;=13",MedicalData[Age],"&lt;=17"))))</f>
        <v/>
      </c>
      <c r="C5" s="35">
        <f>IF(SUM($B$4:$B$8)=0,0,B5/SUM($B$4:$B$8))</f>
        <v/>
      </c>
    </row>
    <row r="6">
      <c r="A6" t="inlineStr">
        <is>
          <t>18-25 years</t>
        </is>
      </c>
      <c r="B6">
        <f>IF(Dashboard!B4="Weekly",SUMPRODUCT((MedicalData[Month]=Dashboard!E4)*(INT((DAY(MedicalData[Date])-1)/7)+1=Dashboard!$M$4)*(MedicalData[Age]&gt;=18)*(MedicalData[Age]&lt;=25)*1),IF(Dashboard!B4="Monthly",COUNTIFS(MedicalData[Age],"&gt;=18",MedicalData[Age],"&lt;=25",MedicalData[Month],Dashboard!E4),IF(Dashboard!B4="Quarterly",COUNTIFS(MedicalData[Age],"&gt;=18",MedicalData[Age],"&lt;=25",MedicalData[Quarter],Dashboard!K4),COUNTIFS(MedicalData[Age],"&gt;=18",MedicalData[Age],"&lt;=25"))))</f>
        <v/>
      </c>
      <c r="C6" s="35">
        <f>IF(SUM($B$4:$B$8)=0,0,B6/SUM($B$4:$B$8))</f>
        <v/>
      </c>
    </row>
    <row r="7">
      <c r="A7" t="inlineStr">
        <is>
          <t>26-35 years</t>
        </is>
      </c>
      <c r="B7">
        <f>IF(Dashboard!B4="Weekly",SUMPRODUCT((MedicalData[Month]=Dashboard!E4)*(INT((DAY(MedicalData[Date])-1)/7)+1=Dashboard!$M$4)*(MedicalData[Age]&gt;=26)*(MedicalData[Age]&lt;=35)*1),IF(Dashboard!B4="Monthly",COUNTIFS(MedicalData[Age],"&gt;=26",MedicalData[Age],"&lt;=35",MedicalData[Month],Dashboard!E4),IF(Dashboard!B4="Quarterly",COUNTIFS(MedicalData[Age],"&gt;=26",MedicalData[Age],"&lt;=35",MedicalData[Quarter],Dashboard!K4),COUNTIFS(MedicalData[Age],"&gt;=26",MedicalData[Age],"&lt;=35"))))</f>
        <v/>
      </c>
      <c r="C7" s="35">
        <f>IF(SUM($B$4:$B$8)=0,0,B7/SUM($B$4:$B$8))</f>
        <v/>
      </c>
    </row>
    <row r="8">
      <c r="A8" t="inlineStr">
        <is>
          <t>36+ years</t>
        </is>
      </c>
      <c r="B8">
        <f>IF(Dashboard!B4="Weekly",SUMPRODUCT((MedicalData[Month]=Dashboard!E4)*(INT((DAY(MedicalData[Date])-1)/7)+1=Dashboard!$M$4)*(MedicalData[Age]&gt;=36)*1),IF(Dashboard!B4="Monthly",COUNTIFS(MedicalData[Age],"&gt;=36",MedicalData[Month],Dashboard!E4),IF(Dashboard!B4="Quarterly",COUNTIFS(MedicalData[Age],"&gt;=36",MedicalData[Quarter],Dashboard!K4),COUNTIFS(MedicalData[Age],"&gt;=36"))))</f>
        <v/>
      </c>
      <c r="C8" s="35">
        <f>IF(SUM($B$4:$B$8)=0,0,B8/SUM($B$4:$B$8))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C16" sqref="C16"/>
    </sheetView>
  </sheetViews>
  <sheetFormatPr baseColWidth="8" defaultRowHeight="15"/>
  <cols>
    <col width="20" customWidth="1" style="21" min="1" max="1"/>
    <col width="10" customWidth="1" style="21" min="2" max="2"/>
    <col width="12" customWidth="1" style="21" min="3" max="3"/>
  </cols>
  <sheetData>
    <row r="1" ht="18.75" customHeight="1" s="21">
      <c r="A1" s="37" t="inlineStr">
        <is>
          <t>INJURY TYPE ANALYSIS</t>
        </is>
      </c>
    </row>
    <row r="2">
      <c r="A2" t="inlineStr">
        <is>
          <t>Period:</t>
        </is>
      </c>
      <c r="B2" s="30">
        <f>Dashboard!B7</f>
        <v/>
      </c>
    </row>
    <row r="3">
      <c r="A3" s="38" t="inlineStr">
        <is>
          <t>Injury Type</t>
        </is>
      </c>
      <c r="B3" s="38" t="inlineStr">
        <is>
          <t>Count</t>
        </is>
      </c>
      <c r="C3" s="38" t="inlineStr">
        <is>
          <t>% of Total</t>
        </is>
      </c>
    </row>
    <row r="4">
      <c r="A4" t="inlineStr">
        <is>
          <t xml:space="preserve">Head Injury </t>
        </is>
      </c>
      <c r="B4">
        <f>IF(Dashboard!B4="Weekly",SUMPRODUCT((MedicalData[Month]=Dashboard!E4)*(INT((DAY(MedicalData[Date])-1)/7)+1=Dashboard!$M$4)*(ISNUMBER(SEARCH(A4,MedicalData[Specific injuries treated])))*1),IF(Dashboard!B4="Monthly",COUNTIFS(MedicalData[Specific injuries treated],"*"&amp;A4&amp;"*",MedicalData[Month],Dashboard!E4),IF(Dashboard!B4="Quarterly",COUNTIFS(MedicalData[Specific injuries treated],"*"&amp;A4&amp;"*",MedicalData[Quarter],Dashboard!K4),COUNTIF(MedicalData[Specific injuries treated],"*"&amp;A4&amp;"*"))))</f>
        <v/>
      </c>
      <c r="C4" s="35">
        <f>IF(SUM($B$4:$B$23)=0,0,B4/SUM($B$4:$B$23))</f>
        <v/>
      </c>
    </row>
    <row r="5">
      <c r="A5" t="inlineStr">
        <is>
          <t xml:space="preserve">Neck Injury </t>
        </is>
      </c>
      <c r="B5">
        <f>IF(Dashboard!B4="Weekly",SUMPRODUCT((MedicalData[Month]=Dashboard!E4)*(INT((DAY(MedicalData[Date])-1)/7)+1=Dashboard!$M$4)*(ISNUMBER(SEARCH(A5,MedicalData[Specific injuries treated])))*1),IF(Dashboard!B4="Monthly",COUNTIFS(MedicalData[Specific injuries treated],"*"&amp;A5&amp;"*",MedicalData[Month],Dashboard!E4),IF(Dashboard!B4="Quarterly",COUNTIFS(MedicalData[Specific injuries treated],"*"&amp;A5&amp;"*",MedicalData[Quarter],Dashboard!K4),COUNTIF(MedicalData[Specific injuries treated],"*"&amp;A5&amp;"*"))))</f>
        <v/>
      </c>
      <c r="C5" s="35">
        <f>IF(SUM($B$4:$B$23)=0,0,B5/SUM($B$4:$B$23))</f>
        <v/>
      </c>
    </row>
    <row r="6">
      <c r="A6" t="inlineStr">
        <is>
          <t xml:space="preserve">Facial Injury </t>
        </is>
      </c>
      <c r="B6">
        <f>IF(Dashboard!B4="Weekly",SUMPRODUCT((MedicalData[Month]=Dashboard!E4)*(INT((DAY(MedicalData[Date])-1)/7)+1=Dashboard!$M$4)*(ISNUMBER(SEARCH(A6,MedicalData[Specific injuries treated])))*1),IF(Dashboard!B4="Monthly",COUNTIFS(MedicalData[Specific injuries treated],"*"&amp;A6&amp;"*",MedicalData[Month],Dashboard!E4),IF(Dashboard!B4="Quarterly",COUNTIFS(MedicalData[Specific injuries treated],"*"&amp;A6&amp;"*",MedicalData[Quarter],Dashboard!K4),COUNTIF(MedicalData[Specific injuries treated],"*"&amp;A6&amp;"*"))))</f>
        <v/>
      </c>
      <c r="C6" s="35">
        <f>IF(SUM($B$4:$B$23)=0,0,B6/SUM($B$4:$B$23))</f>
        <v/>
      </c>
    </row>
    <row r="7">
      <c r="A7" t="inlineStr">
        <is>
          <t xml:space="preserve">spinal injury </t>
        </is>
      </c>
      <c r="B7">
        <f>IF(Dashboard!B4="Weekly",SUMPRODUCT((MedicalData[Month]=Dashboard!E4)*(INT((DAY(MedicalData[Date])-1)/7)+1=Dashboard!$M$4)*(ISNUMBER(SEARCH(A7,MedicalData[Specific injuries treated])))*1),IF(Dashboard!B4="Monthly",COUNTIFS(MedicalData[Specific injuries treated],"*"&amp;A7&amp;"*",MedicalData[Month],Dashboard!E4),IF(Dashboard!B4="Quarterly",COUNTIFS(MedicalData[Specific injuries treated],"*"&amp;A7&amp;"*",MedicalData[Quarter],Dashboard!K4),COUNTIF(MedicalData[Specific injuries treated],"*"&amp;A7&amp;"*"))))</f>
        <v/>
      </c>
      <c r="C7" s="35">
        <f>IF(SUM($B$4:$B$23)=0,0,B7/SUM($B$4:$B$23))</f>
        <v/>
      </c>
    </row>
    <row r="8">
      <c r="A8" t="inlineStr">
        <is>
          <t xml:space="preserve">Shoulder </t>
        </is>
      </c>
      <c r="B8">
        <f>IF(Dashboard!B4="Weekly",SUMPRODUCT((MedicalData[Month]=Dashboard!E4)*(INT((DAY(MedicalData[Date])-1)/7)+1=Dashboard!$M$4)*(ISNUMBER(SEARCH(A8,MedicalData[Specific injuries treated])))*1),IF(Dashboard!B4="Monthly",COUNTIFS(MedicalData[Specific injuries treated],"*"&amp;A8&amp;"*",MedicalData[Month],Dashboard!E4),IF(Dashboard!B4="Quarterly",COUNTIFS(MedicalData[Specific injuries treated],"*"&amp;A8&amp;"*",MedicalData[Quarter],Dashboard!K4),COUNTIF(MedicalData[Specific injuries treated],"*"&amp;A8&amp;"*"))))</f>
        <v/>
      </c>
      <c r="C8" s="35">
        <f>IF(SUM($B$4:$B$23)=0,0,B8/SUM($B$4:$B$23))</f>
        <v/>
      </c>
    </row>
    <row r="9">
      <c r="A9" t="inlineStr">
        <is>
          <t xml:space="preserve">Elbow </t>
        </is>
      </c>
      <c r="B9">
        <f>IF(Dashboard!B4="Weekly",SUMPRODUCT((MedicalData[Month]=Dashboard!E4)*(INT((DAY(MedicalData[Date])-1)/7)+1=Dashboard!$M$4)*(ISNUMBER(SEARCH(A9,MedicalData[Specific injuries treated])))*1),IF(Dashboard!B4="Monthly",COUNTIFS(MedicalData[Specific injuries treated],"*"&amp;A9&amp;"*",MedicalData[Month],Dashboard!E4),IF(Dashboard!B4="Quarterly",COUNTIFS(MedicalData[Specific injuries treated],"*"&amp;A9&amp;"*",MedicalData[Quarter],Dashboard!K4),COUNTIF(MedicalData[Specific injuries treated],"*"&amp;A9&amp;"*"))))</f>
        <v/>
      </c>
      <c r="C9" s="35">
        <f>IF(SUM($B$4:$B$23)=0,0,B9/SUM($B$4:$B$23))</f>
        <v/>
      </c>
    </row>
    <row r="10">
      <c r="A10" t="inlineStr">
        <is>
          <t xml:space="preserve">Wrist </t>
        </is>
      </c>
      <c r="B10">
        <f>IF(Dashboard!B4="Weekly",SUMPRODUCT((MedicalData[Month]=Dashboard!E4)*(INT((DAY(MedicalData[Date])-1)/7)+1=Dashboard!$M$4)*(ISNUMBER(SEARCH(A10,MedicalData[Specific injuries treated])))*1),IF(Dashboard!B4="Monthly",COUNTIFS(MedicalData[Specific injuries treated],"*"&amp;A10&amp;"*",MedicalData[Month],Dashboard!E4),IF(Dashboard!B4="Quarterly",COUNTIFS(MedicalData[Specific injuries treated],"*"&amp;A10&amp;"*",MedicalData[Quarter],Dashboard!K4),COUNTIF(MedicalData[Specific injuries treated],"*"&amp;A10&amp;"*"))))</f>
        <v/>
      </c>
      <c r="C10" s="35">
        <f>IF(SUM($B$4:$B$23)=0,0,B10/SUM($B$4:$B$23))</f>
        <v/>
      </c>
    </row>
    <row r="11">
      <c r="A11" t="inlineStr">
        <is>
          <t xml:space="preserve">Hand </t>
        </is>
      </c>
      <c r="B11">
        <f>IF(Dashboard!B4="Weekly",SUMPRODUCT((MedicalData[Month]=Dashboard!E4)*(INT((DAY(MedicalData[Date])-1)/7)+1=Dashboard!$M$4)*(ISNUMBER(SEARCH(A11,MedicalData[Specific injuries treated])))*1),IF(Dashboard!B4="Monthly",COUNTIFS(MedicalData[Specific injuries treated],"*"&amp;A11&amp;"*",MedicalData[Month],Dashboard!E4),IF(Dashboard!B4="Quarterly",COUNTIFS(MedicalData[Specific injuries treated],"*"&amp;A11&amp;"*",MedicalData[Quarter],Dashboard!K4),COUNTIF(MedicalData[Specific injuries treated],"*"&amp;A11&amp;"*"))))</f>
        <v/>
      </c>
      <c r="C11" s="35">
        <f>IF(SUM($B$4:$B$23)=0,0,B11/SUM($B$4:$B$23))</f>
        <v/>
      </c>
    </row>
    <row r="12">
      <c r="A12" t="inlineStr">
        <is>
          <t xml:space="preserve">Arm </t>
        </is>
      </c>
      <c r="B12">
        <f>IF(Dashboard!B4="Weekly",SUMPRODUCT((MedicalData[Month]=Dashboard!E4)*(INT((DAY(MedicalData[Date])-1)/7)+1=Dashboard!$M$4)*(ISNUMBER(SEARCH(A12,MedicalData[Specific injuries treated])))*1),IF(Dashboard!B4="Monthly",COUNTIFS(MedicalData[Specific injuries treated],"*"&amp;A12&amp;"*",MedicalData[Month],Dashboard!E4),IF(Dashboard!B4="Quarterly",COUNTIFS(MedicalData[Specific injuries treated],"*"&amp;A12&amp;"*",MedicalData[Quarter],Dashboard!K4),COUNTIF(MedicalData[Specific injuries treated],"*"&amp;A12&amp;"*"))))</f>
        <v/>
      </c>
      <c r="C12" s="35">
        <f>IF(SUM($B$4:$B$23)=0,0,B12/SUM($B$4:$B$23))</f>
        <v/>
      </c>
    </row>
    <row r="13">
      <c r="A13" t="inlineStr">
        <is>
          <t xml:space="preserve">Upper limb Muscle </t>
        </is>
      </c>
      <c r="B13">
        <f>IF(Dashboard!B4="Weekly",SUMPRODUCT((MedicalData[Month]=Dashboard!E4)*(INT((DAY(MedicalData[Date])-1)/7)+1=Dashboard!$M$4)*(ISNUMBER(SEARCH(A13,MedicalData[Specific injuries treated])))*1),IF(Dashboard!B4="Monthly",COUNTIFS(MedicalData[Specific injuries treated],"*"&amp;A13&amp;"*",MedicalData[Month],Dashboard!E4),IF(Dashboard!B4="Quarterly",COUNTIFS(MedicalData[Specific injuries treated],"*"&amp;A13&amp;"*",MedicalData[Quarter],Dashboard!K4),COUNTIF(MedicalData[Specific injuries treated],"*"&amp;A13&amp;"*"))))</f>
        <v/>
      </c>
      <c r="C13" s="35">
        <f>IF(SUM($B$4:$B$23)=0,0,B13/SUM($B$4:$B$23))</f>
        <v/>
      </c>
    </row>
    <row r="14">
      <c r="A14" t="inlineStr">
        <is>
          <t xml:space="preserve">Chest </t>
        </is>
      </c>
      <c r="B14">
        <f>IF(Dashboard!B4="Weekly",SUMPRODUCT((MedicalData[Month]=Dashboard!E4)*(INT((DAY(MedicalData[Date])-1)/7)+1=Dashboard!$M$4)*(ISNUMBER(SEARCH(A14,MedicalData[Specific injuries treated])))*1),IF(Dashboard!B4="Monthly",COUNTIFS(MedicalData[Specific injuries treated],"*"&amp;A14&amp;"*",MedicalData[Month],Dashboard!E4),IF(Dashboard!B4="Quarterly",COUNTIFS(MedicalData[Specific injuries treated],"*"&amp;A14&amp;"*",MedicalData[Quarter],Dashboard!K4),COUNTIF(MedicalData[Specific injuries treated],"*"&amp;A14&amp;"*"))))</f>
        <v/>
      </c>
      <c r="C14" s="35">
        <f>IF(SUM($B$4:$B$23)=0,0,B14/SUM($B$4:$B$23))</f>
        <v/>
      </c>
    </row>
    <row r="15">
      <c r="A15" t="inlineStr">
        <is>
          <t xml:space="preserve">Abdominal </t>
        </is>
      </c>
      <c r="B15">
        <f>IF(Dashboard!B4="Weekly",SUMPRODUCT((MedicalData[Month]=Dashboard!E4)*(INT((DAY(MedicalData[Date])-1)/7)+1=Dashboard!$M$4)*(ISNUMBER(SEARCH(A15,MedicalData[Specific injuries treated])))*1),IF(Dashboard!B4="Monthly",COUNTIFS(MedicalData[Specific injuries treated],"*"&amp;A15&amp;"*",MedicalData[Month],Dashboard!E4),IF(Dashboard!B4="Quarterly",COUNTIFS(MedicalData[Specific injuries treated],"*"&amp;A15&amp;"*",MedicalData[Quarter],Dashboard!K4),COUNTIF(MedicalData[Specific injuries treated],"*"&amp;A15&amp;"*"))))</f>
        <v/>
      </c>
      <c r="C15" s="35">
        <f>IF(SUM($B$4:$B$23)=0,0,B15/SUM($B$4:$B$23))</f>
        <v/>
      </c>
    </row>
    <row r="16">
      <c r="A16" t="inlineStr">
        <is>
          <t xml:space="preserve">Back </t>
        </is>
      </c>
      <c r="B16">
        <f>IF(Dashboard!B4="Weekly",SUMPRODUCT((MedicalData[Month]=Dashboard!E4)*(INT((DAY(MedicalData[Date])-1)/7)+1=Dashboard!$M$4)*(ISNUMBER(SEARCH(A16,MedicalData[Specific injuries treated])))*1),IF(Dashboard!B4="Monthly",COUNTIFS(MedicalData[Specific injuries treated],"*"&amp;A16&amp;"*",MedicalData[Month],Dashboard!E4),IF(Dashboard!B4="Quarterly",COUNTIFS(MedicalData[Specific injuries treated],"*"&amp;A16&amp;"*",MedicalData[Quarter],Dashboard!K4),COUNTIF(MedicalData[Specific injuries treated],"*"&amp;A16&amp;"*"))))</f>
        <v/>
      </c>
      <c r="C16" s="35">
        <f>IF(SUM($B$4:$B$23)=0,0,B16/SUM($B$4:$B$23))</f>
        <v/>
      </c>
    </row>
    <row r="17">
      <c r="A17" t="inlineStr">
        <is>
          <t xml:space="preserve">Hip </t>
        </is>
      </c>
      <c r="B17">
        <f>IF(Dashboard!B4="Weekly",SUMPRODUCT((MedicalData[Month]=Dashboard!E4)*(INT((DAY(MedicalData[Date])-1)/7)+1=Dashboard!$M$4)*(ISNUMBER(SEARCH(A17,MedicalData[Specific injuries treated])))*1),IF(Dashboard!B4="Monthly",COUNTIFS(MedicalData[Specific injuries treated],"*"&amp;A17&amp;"*",MedicalData[Month],Dashboard!E4),IF(Dashboard!B4="Quarterly",COUNTIFS(MedicalData[Specific injuries treated],"*"&amp;A17&amp;"*",MedicalData[Quarter],Dashboard!K4),COUNTIF(MedicalData[Specific injuries treated],"*"&amp;A17&amp;"*"))))</f>
        <v/>
      </c>
      <c r="C17" s="35">
        <f>IF(SUM($B$4:$B$23)=0,0,B17/SUM($B$4:$B$23))</f>
        <v/>
      </c>
    </row>
    <row r="18">
      <c r="A18" t="inlineStr">
        <is>
          <t xml:space="preserve">Knee </t>
        </is>
      </c>
      <c r="B18">
        <f>IF(Dashboard!B4="Weekly",SUMPRODUCT((MedicalData[Month]=Dashboard!E4)*(INT((DAY(MedicalData[Date])-1)/7)+1=Dashboard!$M$4)*(ISNUMBER(SEARCH(A18,MedicalData[Specific injuries treated])))*1),IF(Dashboard!B4="Monthly",COUNTIFS(MedicalData[Specific injuries treated],"*"&amp;A18&amp;"*",MedicalData[Month],Dashboard!E4),IF(Dashboard!B4="Quarterly",COUNTIFS(MedicalData[Specific injuries treated],"*"&amp;A18&amp;"*",MedicalData[Quarter],Dashboard!K4),COUNTIF(MedicalData[Specific injuries treated],"*"&amp;A18&amp;"*"))))</f>
        <v/>
      </c>
      <c r="C18" s="35">
        <f>IF(SUM($B$4:$B$23)=0,0,B18/SUM($B$4:$B$23))</f>
        <v/>
      </c>
    </row>
    <row r="19">
      <c r="A19" t="inlineStr">
        <is>
          <t xml:space="preserve">Ankle </t>
        </is>
      </c>
      <c r="B19">
        <f>IF(Dashboard!B4="Weekly",SUMPRODUCT((MedicalData[Month]=Dashboard!E4)*(INT((DAY(MedicalData[Date])-1)/7)+1=Dashboard!$M$4)*(ISNUMBER(SEARCH(A19,MedicalData[Specific injuries treated])))*1),IF(Dashboard!B4="Monthly",COUNTIFS(MedicalData[Specific injuries treated],"*"&amp;A19&amp;"*",MedicalData[Month],Dashboard!E4),IF(Dashboard!B4="Quarterly",COUNTIFS(MedicalData[Specific injuries treated],"*"&amp;A19&amp;"*",MedicalData[Quarter],Dashboard!K4),COUNTIF(MedicalData[Specific injuries treated],"*"&amp;A19&amp;"*"))))</f>
        <v/>
      </c>
      <c r="C19" s="35">
        <f>IF(SUM($B$4:$B$23)=0,0,B19/SUM($B$4:$B$23))</f>
        <v/>
      </c>
    </row>
    <row r="20">
      <c r="A20" t="inlineStr">
        <is>
          <t xml:space="preserve">Foot </t>
        </is>
      </c>
      <c r="B20">
        <f>IF(Dashboard!B4="Weekly",SUMPRODUCT((MedicalData[Month]=Dashboard!E4)*(INT((DAY(MedicalData[Date])-1)/7)+1=Dashboard!$M$4)*(ISNUMBER(SEARCH(A20,MedicalData[Specific injuries treated])))*1),IF(Dashboard!B4="Monthly",COUNTIFS(MedicalData[Specific injuries treated],"*"&amp;A20&amp;"*",MedicalData[Month],Dashboard!E4),IF(Dashboard!B4="Quarterly",COUNTIFS(MedicalData[Specific injuries treated],"*"&amp;A20&amp;"*",MedicalData[Quarter],Dashboard!K4),COUNTIF(MedicalData[Specific injuries treated],"*"&amp;A20&amp;"*"))))</f>
        <v/>
      </c>
      <c r="C20" s="35">
        <f>IF(SUM($B$4:$B$23)=0,0,B20/SUM($B$4:$B$23))</f>
        <v/>
      </c>
    </row>
    <row r="21">
      <c r="A21" t="inlineStr">
        <is>
          <t xml:space="preserve">Lower limb </t>
        </is>
      </c>
      <c r="B21">
        <f>IF(Dashboard!B4="Weekly",SUMPRODUCT((MedicalData[Month]=Dashboard!E4)*(INT((DAY(MedicalData[Date])-1)/7)+1=Dashboard!$M$4)*(ISNUMBER(SEARCH(A21,MedicalData[Specific injuries treated])))*1),IF(Dashboard!B4="Monthly",COUNTIFS(MedicalData[Specific injuries treated],"*"&amp;A21&amp;"*",MedicalData[Month],Dashboard!E4),IF(Dashboard!B4="Quarterly",COUNTIFS(MedicalData[Specific injuries treated],"*"&amp;A21&amp;"*",MedicalData[Quarter],Dashboard!K4),COUNTIF(MedicalData[Specific injuries treated],"*"&amp;A21&amp;"*"))))</f>
        <v/>
      </c>
      <c r="C21" s="35">
        <f>IF(SUM($B$4:$B$23)=0,0,B21/SUM($B$4:$B$23))</f>
        <v/>
      </c>
    </row>
    <row r="22">
      <c r="A22" t="inlineStr">
        <is>
          <t xml:space="preserve">General </t>
        </is>
      </c>
      <c r="B22">
        <f>IF(Dashboard!B4="Weekly",SUMPRODUCT((MedicalData[Month]=Dashboard!E4)*(INT((DAY(MedicalData[Date])-1)/7)+1=Dashboard!$M$4)*(ISNUMBER(SEARCH(A22,MedicalData[Specific injuries treated])))*1),IF(Dashboard!B4="Monthly",COUNTIFS(MedicalData[Specific injuries treated],"*"&amp;A22&amp;"*",MedicalData[Month],Dashboard!E4),IF(Dashboard!B4="Quarterly",COUNTIFS(MedicalData[Specific injuries treated],"*"&amp;A22&amp;"*",MedicalData[Quarter],Dashboard!K4),COUNTIF(MedicalData[Specific injuries treated],"*"&amp;A22&amp;"*"))))</f>
        <v/>
      </c>
      <c r="C22" s="35">
        <f>IF(SUM($B$4:$B$23)=0,0,B22/SUM($B$4:$B$23))</f>
        <v/>
      </c>
    </row>
    <row r="23">
      <c r="A23" t="inlineStr">
        <is>
          <t xml:space="preserve">Medical </t>
        </is>
      </c>
      <c r="B23">
        <f>IF(Dashboard!B4="Weekly",SUMPRODUCT((MedicalData[Month]=Dashboard!E4)*(INT((DAY(MedicalData[Date])-1)/7)+1=Dashboard!$M$4)*(ISNUMBER(SEARCH(A23,MedicalData[Specific injuries treated])))*1),IF(Dashboard!B4="Monthly",COUNTIFS(MedicalData[Specific injuries treated],"*"&amp;A23&amp;"*",MedicalData[Month],Dashboard!E4),IF(Dashboard!B4="Quarterly",COUNTIFS(MedicalData[Specific injuries treated],"*"&amp;A23&amp;"*",MedicalData[Quarter],Dashboard!K4),COUNTIF(MedicalData[Specific injuries treated],"*"&amp;A23&amp;"*"))))</f>
        <v/>
      </c>
      <c r="C23" s="35">
        <f>IF(SUM($B$4:$B$23)=0,0,B23/SUM($B$4:$B$23))</f>
        <v/>
      </c>
    </row>
    <row r="24" ht="17.25" customHeight="1" s="21">
      <c r="A24" s="1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4"/>
  <sheetViews>
    <sheetView tabSelected="1" workbookViewId="0">
      <selection activeCell="B24" sqref="B24"/>
    </sheetView>
  </sheetViews>
  <sheetFormatPr baseColWidth="8" defaultRowHeight="15"/>
  <cols>
    <col width="22" customWidth="1" style="21" min="1" max="1"/>
    <col width="10" customWidth="1" style="21" min="2" max="2"/>
    <col width="12" customWidth="1" style="21" min="3" max="3"/>
    <col width="18" customWidth="1" style="21" min="4" max="4"/>
  </cols>
  <sheetData>
    <row r="1" ht="18.75" customHeight="1" s="21">
      <c r="A1" s="37" t="inlineStr">
        <is>
          <t>INJURY MECHANISM ANALYSIS</t>
        </is>
      </c>
    </row>
    <row r="2">
      <c r="A2" t="inlineStr">
        <is>
          <t>Period:</t>
        </is>
      </c>
      <c r="B2" s="30">
        <f>Dashboard!B7</f>
        <v/>
      </c>
    </row>
    <row r="3">
      <c r="A3" s="38" t="inlineStr">
        <is>
          <t>Mechanism</t>
        </is>
      </c>
      <c r="B3" s="38" t="inlineStr">
        <is>
          <t>Count</t>
        </is>
      </c>
      <c r="C3" s="38" t="inlineStr">
        <is>
          <t>% of Total</t>
        </is>
      </c>
      <c r="D3" s="38" t="inlineStr">
        <is>
          <t>Prevention Priority</t>
        </is>
      </c>
    </row>
    <row r="4" ht="17.25" customHeight="1" s="21">
      <c r="A4" s="16" t="inlineStr">
        <is>
          <t>Player-to-Player</t>
        </is>
      </c>
      <c r="B4">
        <f>IF(Dashboard!B4="Weekly",SUMPRODUCT((MedicalData[Month]=Dashboard!E4)*(INT((DAY(MedicalData[Date])-1)/7)+1=Dashboard!$M$4)*(MedicalData[History/Mechanism of injury]=A4)*1),IF(Dashboard!B4="Monthly",COUNTIFS(MedicalData[History/Mechanism of injury],A4,MedicalData[Month],Dashboard!E4),IF(Dashboard!B4="Quarterly",COUNTIFS(MedicalData[History/Mechanism of injury],A4,MedicalData[Quarter],Dashboard!K4),COUNTIF(MedicalData[History/Mechanism of injury],A4))))</f>
        <v/>
      </c>
      <c r="C4" s="35">
        <f>IF(SUM($B$4:$B$24)=0,0,B4/SUM($B$4:$B$24))</f>
        <v/>
      </c>
      <c r="D4">
        <f>IF(B4&gt;=5,"🔴 HIGH",IF(B4&gt;=3,"🟡 MEDIUM","🟢 LOW"))</f>
        <v/>
      </c>
    </row>
    <row r="5" ht="17.25" customHeight="1" s="21">
      <c r="A5" s="16" t="inlineStr">
        <is>
          <t>Player-to-Object</t>
        </is>
      </c>
      <c r="B5">
        <f>IF(Dashboard!B4="Weekly",SUMPRODUCT((MedicalData[Month]=Dashboard!E4)*(INT((DAY(MedicalData[Date])-1)/7)+1=Dashboard!$M$4)*(MedicalData[History/Mechanism of injury]=A5)*1),IF(Dashboard!B4="Monthly",COUNTIFS(MedicalData[History/Mechanism of injury],A5,MedicalData[Month],Dashboard!E4),IF(Dashboard!B4="Quarterly",COUNTIFS(MedicalData[History/Mechanism of injury],A5,MedicalData[Quarter],Dashboard!K4),COUNTIF(MedicalData[History/Mechanism of injury],A5))))</f>
        <v/>
      </c>
      <c r="C5" s="35">
        <f>IF(SUM($B$4:$B$24)=0,0,B5/SUM($B$4:$B$24))</f>
        <v/>
      </c>
      <c r="D5">
        <f>IF(B5&gt;=5,"🔴 HIGH",IF(B5&gt;=3,"🟡 MEDIUM","🟢 LOW"))</f>
        <v/>
      </c>
    </row>
    <row r="6" ht="17.25" customHeight="1" s="21">
      <c r="A6" s="16" t="inlineStr">
        <is>
          <t>Struck by Equipment</t>
        </is>
      </c>
      <c r="B6">
        <f>IF(Dashboard!B4="Weekly",SUMPRODUCT((MedicalData[Month]=Dashboard!E4)*(INT((DAY(MedicalData[Date])-1)/7)+1=Dashboard!$M$4)*(MedicalData[History/Mechanism of injury]=A6)*1),IF(Dashboard!B4="Monthly",COUNTIFS(MedicalData[History/Mechanism of injury],A6,MedicalData[Month],Dashboard!E4),IF(Dashboard!B4="Quarterly",COUNTIFS(MedicalData[History/Mechanism of injury],A6,MedicalData[Quarter],Dashboard!K4),COUNTIF(MedicalData[History/Mechanism of injury],A6))))</f>
        <v/>
      </c>
      <c r="C6" s="35">
        <f>IF(SUM($B$4:$B$24)=0,0,B6/SUM($B$4:$B$24))</f>
        <v/>
      </c>
      <c r="D6">
        <f>IF(B6&gt;=5,"🔴 HIGH",IF(B6&gt;=3,"🟡 MEDIUM","🟢 LOW"))</f>
        <v/>
      </c>
    </row>
    <row r="7" ht="17.25" customHeight="1" s="21">
      <c r="A7" s="16" t="inlineStr">
        <is>
          <t>Slips, Trips and falls</t>
        </is>
      </c>
      <c r="B7">
        <f>IF(Dashboard!B4="Weekly",SUMPRODUCT((MedicalData[Month]=Dashboard!E4)*(INT((DAY(MedicalData[Date])-1)/7)+1=Dashboard!$M$4)*(MedicalData[History/Mechanism of injury]=A7)*1),IF(Dashboard!B4="Monthly",COUNTIFS(MedicalData[History/Mechanism of injury],A7,MedicalData[Month],Dashboard!E4),IF(Dashboard!B4="Quarterly",COUNTIFS(MedicalData[History/Mechanism of injury],A7,MedicalData[Quarter],Dashboard!K4),COUNTIF(MedicalData[History/Mechanism of injury],A7))))</f>
        <v/>
      </c>
      <c r="C7" s="35">
        <f>IF(SUM($B$4:$B$24)=0,0,B7/SUM($B$4:$B$24))</f>
        <v/>
      </c>
      <c r="D7">
        <f>IF(B7&gt;=5,"🔴 HIGH",IF(B7&gt;=3,"🟡 MEDIUM","🟢 LOW"))</f>
        <v/>
      </c>
    </row>
    <row r="8" ht="17.25" customHeight="1" s="21">
      <c r="A8" s="16" t="inlineStr">
        <is>
          <t>Falls from Height</t>
        </is>
      </c>
      <c r="B8">
        <f>IF(Dashboard!B4="Weekly",SUMPRODUCT((MedicalData[Month]=Dashboard!E4)*(INT((DAY(MedicalData[Date])-1)/7)+1=Dashboard!$M$4)*(MedicalData[History/Mechanism of injury]=A8)*1),IF(Dashboard!B4="Monthly",COUNTIFS(MedicalData[History/Mechanism of injury],A8,MedicalData[Month],Dashboard!E4),IF(Dashboard!B4="Quarterly",COUNTIFS(MedicalData[History/Mechanism of injury],A8,MedicalData[Quarter],Dashboard!K4),COUNTIF(MedicalData[History/Mechanism of injury],A8))))</f>
        <v/>
      </c>
      <c r="C8" s="35">
        <f>IF(SUM($B$4:$B$24)=0,0,B8/SUM($B$4:$B$24))</f>
        <v/>
      </c>
      <c r="D8">
        <f>IF(B8&gt;=5,"🔴 HIGH",IF(B8&gt;=3,"🟡 MEDIUM","🟢 LOW"))</f>
        <v/>
      </c>
    </row>
    <row r="9" ht="17.25" customHeight="1" s="21">
      <c r="A9" s="16" t="inlineStr">
        <is>
          <t>Muscle Strains</t>
        </is>
      </c>
      <c r="B9">
        <f>IF(Dashboard!B4="Weekly",SUMPRODUCT((MedicalData[Month]=Dashboard!E4)*(INT((DAY(MedicalData[Date])-1)/7)+1=Dashboard!$M$4)*(MedicalData[History/Mechanism of injury]=A9)*1),IF(Dashboard!B4="Monthly",COUNTIFS(MedicalData[History/Mechanism of injury],A9,MedicalData[Month],Dashboard!E4),IF(Dashboard!B4="Quarterly",COUNTIFS(MedicalData[History/Mechanism of injury],A9,MedicalData[Quarter],Dashboard!K4),COUNTIF(MedicalData[History/Mechanism of injury],A9))))</f>
        <v/>
      </c>
      <c r="C9" s="35">
        <f>IF(SUM($B$4:$B$24)=0,0,B9/SUM($B$4:$B$24))</f>
        <v/>
      </c>
      <c r="D9">
        <f>IF(B9&gt;=5,"🔴 HIGH",IF(B9&gt;=3,"🟡 MEDIUM","🟢 LOW"))</f>
        <v/>
      </c>
    </row>
    <row r="10" ht="17.25" customHeight="1" s="21">
      <c r="A10" s="16" t="inlineStr">
        <is>
          <t>Heat-Related</t>
        </is>
      </c>
      <c r="B10">
        <f>IF(Dashboard!B4="Weekly",SUMPRODUCT((MedicalData[Month]=Dashboard!E4)*(INT((DAY(MedicalData[Date])-1)/7)+1=Dashboard!$M$4)*(MedicalData[History/Mechanism of injury]=A10)*1),IF(Dashboard!B4="Monthly",COUNTIFS(MedicalData[History/Mechanism of injury],A10,MedicalData[Month],Dashboard!E4),IF(Dashboard!B4="Quarterly",COUNTIFS(MedicalData[History/Mechanism of injury],A10,MedicalData[Quarter],Dashboard!K4),COUNTIF(MedicalData[History/Mechanism of injury],A10))))</f>
        <v/>
      </c>
      <c r="C10" s="35">
        <f>IF(SUM($B$4:$B$24)=0,0,B10/SUM($B$4:$B$24))</f>
        <v/>
      </c>
      <c r="D10">
        <f>IF(B10&gt;=5,"🔴 HIGH",IF(B10&gt;=3,"🟡 MEDIUM","🟢 LOW"))</f>
        <v/>
      </c>
    </row>
    <row r="11" ht="17.25" customHeight="1" s="21">
      <c r="A11" s="16" t="inlineStr">
        <is>
          <t>Stress Fractures</t>
        </is>
      </c>
      <c r="B11">
        <f>IF(Dashboard!B4="Weekly",SUMPRODUCT((MedicalData[Month]=Dashboard!E4)*(INT((DAY(MedicalData[Date])-1)/7)+1=Dashboard!$M$4)*(MedicalData[History/Mechanism of injury]=A11)*1),IF(Dashboard!B4="Monthly",COUNTIFS(MedicalData[History/Mechanism of injury],A11,MedicalData[Month],Dashboard!E4),IF(Dashboard!B4="Quarterly",COUNTIFS(MedicalData[History/Mechanism of injury],A11,MedicalData[Quarter],Dashboard!K4),COUNTIF(MedicalData[History/Mechanism of injury],A11))))</f>
        <v/>
      </c>
      <c r="C11" s="35">
        <f>IF(SUM($B$4:$B$24)=0,0,B11/SUM($B$4:$B$24))</f>
        <v/>
      </c>
      <c r="D11">
        <f>IF(B11&gt;=5,"🔴 HIGH",IF(B11&gt;=3,"🟡 MEDIUM","🟢 LOW"))</f>
        <v/>
      </c>
    </row>
    <row r="12" ht="17.25" customHeight="1" s="21">
      <c r="A12" s="16" t="inlineStr">
        <is>
          <t>Tendonitis</t>
        </is>
      </c>
      <c r="B12">
        <f>IF(Dashboard!B4="Weekly",SUMPRODUCT((MedicalData[Month]=Dashboard!E4)*(INT((DAY(MedicalData[Date])-1)/7)+1=Dashboard!$M$4)*(MedicalData[History/Mechanism of injury]=A12)*1),IF(Dashboard!B4="Monthly",COUNTIFS(MedicalData[History/Mechanism of injury],A12,MedicalData[Month],Dashboard!E4),IF(Dashboard!B4="Quarterly",COUNTIFS(MedicalData[History/Mechanism of injury],A12,MedicalData[Quarter],Dashboard!K4),COUNTIF(MedicalData[History/Mechanism of injury],A12))))</f>
        <v/>
      </c>
      <c r="C12" s="35">
        <f>IF(SUM($B$4:$B$24)=0,0,B12/SUM($B$4:$B$24))</f>
        <v/>
      </c>
      <c r="D12">
        <f>IF(B12&gt;=5,"🔴 HIGH",IF(B12&gt;=3,"🟡 MEDIUM","🟢 LOW"))</f>
        <v/>
      </c>
    </row>
    <row r="13" ht="17.25" customHeight="1" s="21">
      <c r="A13" s="16" t="inlineStr">
        <is>
          <t>Incorrect Use</t>
        </is>
      </c>
      <c r="B13">
        <f>IF(Dashboard!B4="Weekly",SUMPRODUCT((MedicalData[Month]=Dashboard!E4)*(INT((DAY(MedicalData[Date])-1)/7)+1=Dashboard!$M$4)*(MedicalData[History/Mechanism of injury]=A13)*1),IF(Dashboard!B4="Monthly",COUNTIFS(MedicalData[History/Mechanism of injury],A13,MedicalData[Month],Dashboard!E4),IF(Dashboard!B4="Quarterly",COUNTIFS(MedicalData[History/Mechanism of injury],A13,MedicalData[Quarter],Dashboard!K4),COUNTIF(MedicalData[History/Mechanism of injury],A13))))</f>
        <v/>
      </c>
      <c r="C13" s="35">
        <f>IF(SUM($B$4:$B$24)=0,0,B13/SUM($B$4:$B$24))</f>
        <v/>
      </c>
      <c r="D13">
        <f>IF(B13&gt;=5,"🔴 HIGH",IF(B13&gt;=3,"🟡 MEDIUM","🟢 LOW"))</f>
        <v/>
      </c>
    </row>
    <row r="14" ht="17.25" customHeight="1" s="21">
      <c r="A14" s="16" t="inlineStr">
        <is>
          <t>Malfunction</t>
        </is>
      </c>
      <c r="B14">
        <f>IF(Dashboard!B4="Weekly",SUMPRODUCT((MedicalData[Month]=Dashboard!E4)*(INT((DAY(MedicalData[Date])-1)/7)+1=Dashboard!$M$4)*(MedicalData[History/Mechanism of injury]=A14)*1),IF(Dashboard!B4="Monthly",COUNTIFS(MedicalData[History/Mechanism of injury],A14,MedicalData[Month],Dashboard!E4),IF(Dashboard!B4="Quarterly",COUNTIFS(MedicalData[History/Mechanism of injury],A14,MedicalData[Quarter],Dashboard!K4),COUNTIF(MedicalData[History/Mechanism of injury],A14))))</f>
        <v/>
      </c>
      <c r="C14" s="35">
        <f>IF(SUM($B$4:$B$24)=0,0,B14/SUM($B$4:$B$24))</f>
        <v/>
      </c>
      <c r="D14">
        <f>IF(B14&gt;=5,"🔴 HIGH",IF(B14&gt;=3,"🟡 MEDIUM","🟢 LOW"))</f>
        <v/>
      </c>
    </row>
    <row r="15" ht="17.25" customHeight="1" s="21">
      <c r="A15" s="16" t="inlineStr">
        <is>
          <t>Poor Lighting</t>
        </is>
      </c>
      <c r="B15">
        <f>IF(Dashboard!B4="Weekly",SUMPRODUCT((MedicalData[Month]=Dashboard!E4)*(INT((DAY(MedicalData[Date])-1)/7)+1=Dashboard!$M$4)*(MedicalData[History/Mechanism of injury]=A15)*1),IF(Dashboard!B4="Monthly",COUNTIFS(MedicalData[History/Mechanism of injury],A15,MedicalData[Month],Dashboard!E4),IF(Dashboard!B4="Quarterly",COUNTIFS(MedicalData[History/Mechanism of injury],A15,MedicalData[Quarter],Dashboard!K4),COUNTIF(MedicalData[History/Mechanism of injury],A15))))</f>
        <v/>
      </c>
      <c r="C15" s="35">
        <f>IF(SUM($B$4:$B$24)=0,0,B15/SUM($B$4:$B$24))</f>
        <v/>
      </c>
      <c r="D15">
        <f>IF(B15&gt;=5,"🔴 HIGH",IF(B15&gt;=3,"🟡 MEDIUM","🟢 LOW"))</f>
        <v/>
      </c>
    </row>
    <row r="16" ht="17.25" customHeight="1" s="21">
      <c r="A16" s="16" t="inlineStr">
        <is>
          <t>Inadequate Signage</t>
        </is>
      </c>
      <c r="B16">
        <f>IF(Dashboard!B4="Weekly",SUMPRODUCT((MedicalData[Month]=Dashboard!E4)*(INT((DAY(MedicalData[Date])-1)/7)+1=Dashboard!$M$4)*(MedicalData[History/Mechanism of injury]=A16)*1),IF(Dashboard!B4="Monthly",COUNTIFS(MedicalData[History/Mechanism of injury],A16,MedicalData[Month],Dashboard!E4),IF(Dashboard!B4="Quarterly",COUNTIFS(MedicalData[History/Mechanism of injury],A16,MedicalData[Quarter],Dashboard!K4),COUNTIF(MedicalData[History/Mechanism of injury],A16))))</f>
        <v/>
      </c>
      <c r="C16" s="35">
        <f>IF(SUM($B$4:$B$24)=0,0,B16/SUM($B$4:$B$24))</f>
        <v/>
      </c>
      <c r="D16">
        <f>IF(B16&gt;=5,"🔴 HIGH",IF(B16&gt;=3,"🟡 MEDIUM","🟢 LOW"))</f>
        <v/>
      </c>
    </row>
    <row r="17" ht="17.25" customHeight="1" s="21">
      <c r="A17" s="16" t="inlineStr">
        <is>
          <t>Cleaning Agents</t>
        </is>
      </c>
      <c r="B17">
        <f>IF(Dashboard!B4="Weekly",SUMPRODUCT((MedicalData[Month]=Dashboard!E4)*(INT((DAY(MedicalData[Date])-1)/7)+1=Dashboard!$M$4)*(MedicalData[History/Mechanism of injury]=A17)*1),IF(Dashboard!B4="Monthly",COUNTIFS(MedicalData[History/Mechanism of injury],A17,MedicalData[Month],Dashboard!E4),IF(Dashboard!B4="Quarterly",COUNTIFS(MedicalData[History/Mechanism of injury],A17,MedicalData[Quarter],Dashboard!K4),COUNTIF(MedicalData[History/Mechanism of injury],A17))))</f>
        <v/>
      </c>
      <c r="C17" s="35">
        <f>IF(SUM($B$4:$B$24)=0,0,B17/SUM($B$4:$B$24))</f>
        <v/>
      </c>
      <c r="D17">
        <f>IF(B17&gt;=5,"🔴 HIGH",IF(B17&gt;=3,"🟡 MEDIUM","🟢 LOW"))</f>
        <v/>
      </c>
    </row>
    <row r="18" ht="17.25" customHeight="1" s="21">
      <c r="A18" s="16" t="inlineStr">
        <is>
          <t>Infections</t>
        </is>
      </c>
      <c r="B18">
        <f>IF(Dashboard!B4="Weekly",SUMPRODUCT((MedicalData[Month]=Dashboard!E4)*(INT((DAY(MedicalData[Date])-1)/7)+1=Dashboard!$M$4)*(MedicalData[History/Mechanism of injury]=A18)*1),IF(Dashboard!B4="Monthly",COUNTIFS(MedicalData[History/Mechanism of injury],A18,MedicalData[Month],Dashboard!E4),IF(Dashboard!B4="Quarterly",COUNTIFS(MedicalData[History/Mechanism of injury],A18,MedicalData[Quarter],Dashboard!K4),COUNTIF(MedicalData[History/Mechanism of injury],A18))))</f>
        <v/>
      </c>
      <c r="C18" s="35">
        <f>IF(SUM($B$4:$B$24)=0,0,B18/SUM($B$4:$B$24))</f>
        <v/>
      </c>
      <c r="D18">
        <f>IF(B18&gt;=5,"🔴 HIGH",IF(B18&gt;=3,"🟡 MEDIUM","🟢 LOW"))</f>
        <v/>
      </c>
    </row>
    <row r="19" ht="17.25" customHeight="1" s="21">
      <c r="A19" s="16" t="inlineStr">
        <is>
          <t>Allergies</t>
        </is>
      </c>
      <c r="B19">
        <f>IF(Dashboard!B4="Weekly",SUMPRODUCT((MedicalData[Month]=Dashboard!E4)*(INT((DAY(MedicalData[Date])-1)/7)+1=Dashboard!$M$4)*(MedicalData[History/Mechanism of injury]=A19)*1),IF(Dashboard!B4="Monthly",COUNTIFS(MedicalData[History/Mechanism of injury],A19,MedicalData[Month],Dashboard!E4),IF(Dashboard!B4="Quarterly",COUNTIFS(MedicalData[History/Mechanism of injury],A19,MedicalData[Quarter],Dashboard!K4),COUNTIF(MedicalData[History/Mechanism of injury],A19))))</f>
        <v/>
      </c>
      <c r="C19" s="35">
        <f>IF(SUM($B$4:$B$24)=0,0,B19/SUM($B$4:$B$24))</f>
        <v/>
      </c>
      <c r="D19">
        <f>IF(B19&gt;=5,"🔴 HIGH",IF(B19&gt;=3,"🟡 MEDIUM","🟢 LOW"))</f>
        <v/>
      </c>
    </row>
    <row r="20" ht="17.25" customHeight="1" s="21">
      <c r="A20" s="16" t="inlineStr">
        <is>
          <t>Harassment or Bullying</t>
        </is>
      </c>
      <c r="B20">
        <f>IF(Dashboard!B4="Weekly",SUMPRODUCT((MedicalData[Month]=Dashboard!E4)*(INT((DAY(MedicalData[Date])-1)/7)+1=Dashboard!$M$4)*(MedicalData[History/Mechanism of injury]=A20)*1),IF(Dashboard!B4="Monthly",COUNTIFS(MedicalData[History/Mechanism of injury],A20,MedicalData[Month],Dashboard!E4),IF(Dashboard!B4="Quarterly",COUNTIFS(MedicalData[History/Mechanism of injury],A20,MedicalData[Quarter],Dashboard!K4),COUNTIF(MedicalData[History/Mechanism of injury],A20))))</f>
        <v/>
      </c>
      <c r="C20" s="35">
        <f>IF(SUM($B$4:$B$24)=0,0,B20/SUM($B$4:$B$24))</f>
        <v/>
      </c>
      <c r="D20">
        <f>IF(B20&gt;=5,"🔴 HIGH",IF(B20&gt;=3,"🟡 MEDIUM","🟢 LOW"))</f>
        <v/>
      </c>
    </row>
    <row r="21" ht="17.25" customHeight="1" s="21">
      <c r="A21" s="16" t="inlineStr">
        <is>
          <t>Performance Pressure</t>
        </is>
      </c>
      <c r="B21">
        <f>IF(Dashboard!B4="Weekly",SUMPRODUCT((MedicalData[Month]=Dashboard!E4)*(INT((DAY(MedicalData[Date])-1)/7)+1=Dashboard!$M$4)*(MedicalData[History/Mechanism of injury]=A21)*1),IF(Dashboard!B4="Monthly",COUNTIFS(MedicalData[History/Mechanism of injury],A21,MedicalData[Month],Dashboard!E4),IF(Dashboard!B4="Quarterly",COUNTIFS(MedicalData[History/Mechanism of injury],A21,MedicalData[Quarter],Dashboard!K4),COUNTIF(MedicalData[History/Mechanism of injury],A21))))</f>
        <v/>
      </c>
      <c r="C21" s="35">
        <f>IF(SUM($B$4:$B$24)=0,0,B21/SUM($B$4:$B$24))</f>
        <v/>
      </c>
      <c r="D21">
        <f>IF(B21&gt;=5,"🔴 HIGH",IF(B21&gt;=3,"🟡 MEDIUM","🟢 LOW"))</f>
        <v/>
      </c>
    </row>
    <row r="22" ht="17.25" customHeight="1" s="21">
      <c r="A22" s="16" t="inlineStr">
        <is>
          <t>Assault</t>
        </is>
      </c>
      <c r="B22">
        <f>IF(Dashboard!B4="Weekly",SUMPRODUCT((MedicalData[Month]=Dashboard!E4)*(INT((DAY(MedicalData[Date])-1)/7)+1=Dashboard!$M$4)*(MedicalData[History/Mechanism of injury]=A22)*1),IF(Dashboard!B4="Monthly",COUNTIFS(MedicalData[History/Mechanism of injury],A22,MedicalData[Month],Dashboard!E4),IF(Dashboard!B4="Quarterly",COUNTIFS(MedicalData[History/Mechanism of injury],A22,MedicalData[Quarter],Dashboard!K4),COUNTIF(MedicalData[History/Mechanism of injury],A22))))</f>
        <v/>
      </c>
      <c r="C22" s="35">
        <f>IF(SUM($B$4:$B$24)=0,0,B22/SUM($B$4:$B$24))</f>
        <v/>
      </c>
      <c r="D22">
        <f>IF(B22&gt;=5,"🔴 HIGH",IF(B22&gt;=3,"🟡 MEDIUM","🟢 LOW"))</f>
        <v/>
      </c>
    </row>
    <row r="23" ht="17.25" customHeight="1" s="21">
      <c r="A23" s="16" t="inlineStr">
        <is>
          <t>Theft</t>
        </is>
      </c>
      <c r="B23">
        <f>IF(Dashboard!B4="Weekly",SUMPRODUCT((MedicalData[Month]=Dashboard!E4)*(INT((DAY(MedicalData[Date])-1)/7)+1=Dashboard!$M$4)*(MedicalData[History/Mechanism of injury]=A23)*1),IF(Dashboard!B4="Monthly",COUNTIFS(MedicalData[History/Mechanism of injury],A23,MedicalData[Month],Dashboard!E4),IF(Dashboard!B4="Quarterly",COUNTIFS(MedicalData[History/Mechanism of injury],A23,MedicalData[Quarter],Dashboard!K4),COUNTIF(MedicalData[History/Mechanism of injury],A23))))</f>
        <v/>
      </c>
      <c r="C23" s="35">
        <f>IF(SUM($B$4:$B$24)=0,0,B23/SUM($B$4:$B$24))</f>
        <v/>
      </c>
      <c r="D23">
        <f>IF(B23&gt;=5,"🔴 HIGH",IF(B23&gt;=3,"🟡 MEDIUM","🟢 LOW"))</f>
        <v/>
      </c>
    </row>
    <row r="24" ht="17.25" customHeight="1" s="21">
      <c r="A24" s="16" t="inlineStr">
        <is>
          <t>Medical</t>
        </is>
      </c>
      <c r="B24">
        <f>IF(Dashboard!B4="Weekly",SUMPRODUCT((MedicalData[Month]=Dashboard!E4)*(INT((DAY(MedicalData[Date])-1)/7)+1=Dashboard!$M$4)*(MedicalData[History/Mechanism of injury]=A24)*1),IF(Dashboard!B4="Monthly",COUNTIFS(MedicalData[History/Mechanism of injury],A24,MedicalData[Month],Dashboard!E4),IF(Dashboard!B4="Quarterly",COUNTIFS(MedicalData[History/Mechanism of injury],A24,MedicalData[Quarter],Dashboard!K4),COUNTIF(MedicalData[History/Mechanism of injury],A24))))</f>
        <v/>
      </c>
      <c r="C24" s="35">
        <f>IF(SUM($B$4:$B$24)=0,0,B24/SUM($B$4:$B$24))</f>
        <v/>
      </c>
      <c r="D24">
        <f>IF(B24&gt;=5,"🔴 HIGH",IF(B24&gt;=3,"🟡 MEDIUM","🟢 LOW"))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8" customWidth="1" style="21" min="1" max="1"/>
    <col width="10" customWidth="1" style="21" min="2" max="2"/>
    <col width="12" customWidth="1" style="21" min="3" max="3"/>
    <col width="12" customWidth="1" style="21" min="4" max="4"/>
    <col width="10" customWidth="1" style="21" min="5" max="5"/>
  </cols>
  <sheetData>
    <row r="1">
      <c r="A1" s="37" t="inlineStr">
        <is>
          <t>PROGRAM TYPE ANALYSIS</t>
        </is>
      </c>
    </row>
    <row r="3">
      <c r="A3" s="38" t="inlineStr">
        <is>
          <t>Program Type</t>
        </is>
      </c>
      <c r="B3" s="38" t="inlineStr">
        <is>
          <t>Count</t>
        </is>
      </c>
      <c r="C3" s="38" t="inlineStr">
        <is>
          <t>% of Total</t>
        </is>
      </c>
      <c r="D3" s="38" t="inlineStr">
        <is>
          <t>Risk Level</t>
        </is>
      </c>
      <c r="E3" s="38" t="inlineStr">
        <is>
          <t>Avg Age</t>
        </is>
      </c>
    </row>
    <row r="4">
      <c r="A4" t="inlineStr">
        <is>
          <t>Open Play</t>
        </is>
      </c>
      <c r="B4">
        <f>COUNTIF(MedicalData[Type of program],A4)</f>
        <v/>
      </c>
      <c r="C4" s="35">
        <f>IF(SUM($B$4:$B$20)=0,0,B4/SUM($B$4:$B$20))</f>
        <v/>
      </c>
      <c r="D4">
        <f>IF(B4&gt;=10,"HIGH",IF(B4&gt;=5,"MEDIUM","LOW"))</f>
        <v/>
      </c>
      <c r="E4">
        <f>IFERROR(ROUND(AVERAGEIF(MedicalData[Type of program],A4,MedicalData[Age]),0),"")</f>
        <v/>
      </c>
    </row>
    <row r="5">
      <c r="A5" t="inlineStr">
        <is>
          <t>Training</t>
        </is>
      </c>
      <c r="B5">
        <f>COUNTIF(MedicalData[Type of program],A5)</f>
        <v/>
      </c>
      <c r="C5" s="35">
        <f>IF(SUM($B$4:$B$20)=0,0,B5/SUM($B$4:$B$20))</f>
        <v/>
      </c>
      <c r="D5">
        <f>IF(B5&gt;=10,"HIGH",IF(B5&gt;=5,"MEDIUM","LOW"))</f>
        <v/>
      </c>
      <c r="E5">
        <f>IFERROR(ROUND(AVERAGEIF(MedicalData[Type of program],A5,MedicalData[Age]),0),"")</f>
        <v/>
      </c>
    </row>
    <row r="6">
      <c r="A6" t="inlineStr">
        <is>
          <t xml:space="preserve">Afternoon Program </t>
        </is>
      </c>
      <c r="B6">
        <f>COUNTIF(MedicalData[Type of program],A6)</f>
        <v/>
      </c>
      <c r="C6" s="35">
        <f>IF(SUM($B$4:$B$20)=0,0,B6/SUM($B$4:$B$20))</f>
        <v/>
      </c>
      <c r="D6">
        <f>IF(B6&gt;=10,"HIGH",IF(B6&gt;=5,"MEDIUM","LOW"))</f>
        <v/>
      </c>
      <c r="E6">
        <f>IFERROR(ROUND(AVERAGEIF(MedicalData[Type of program],A6,MedicalData[Age]),0),"")</f>
        <v/>
      </c>
    </row>
    <row r="7">
      <c r="A7" t="inlineStr">
        <is>
          <t>Girl Skate</t>
        </is>
      </c>
      <c r="B7">
        <f>COUNTIF(MedicalData[Type of program],A7)</f>
        <v/>
      </c>
      <c r="C7" s="35">
        <f>IF(SUM($B$4:$B$20)=0,0,B7/SUM($B$4:$B$20))</f>
        <v/>
      </c>
      <c r="D7">
        <f>IF(B7&gt;=10,"HIGH",IF(B7&gt;=5,"MEDIUM","LOW"))</f>
        <v/>
      </c>
      <c r="E7">
        <f>IFERROR(ROUND(AVERAGEIF(MedicalData[Type of program],A7,MedicalData[Age]),0),"")</f>
        <v/>
      </c>
    </row>
    <row r="8">
      <c r="A8" t="inlineStr">
        <is>
          <t>Bystander</t>
        </is>
      </c>
      <c r="B8">
        <f>COUNTIF(MedicalData[Type of program],A8)</f>
        <v/>
      </c>
      <c r="C8" s="35">
        <f>IF(SUM($B$4:$B$20)=0,0,B8/SUM($B$4:$B$20))</f>
        <v/>
      </c>
      <c r="D8">
        <f>IF(B8&gt;=10,"HIGH",IF(B8&gt;=5,"MEDIUM","LOW"))</f>
        <v/>
      </c>
      <c r="E8">
        <f>IFERROR(ROUND(AVERAGEIF(MedicalData[Type of program],A8,MedicalData[Age]),0),"")</f>
        <v/>
      </c>
    </row>
    <row r="9">
      <c r="A9" t="inlineStr">
        <is>
          <t>Yoga</t>
        </is>
      </c>
      <c r="B9">
        <f>COUNTIF(MedicalData[Type of program],A9)</f>
        <v/>
      </c>
      <c r="C9" s="35">
        <f>IF(SUM($B$4:$B$20)=0,0,B9/SUM($B$4:$B$20))</f>
        <v/>
      </c>
      <c r="D9">
        <f>IF(B9&gt;=10,"HIGH",IF(B9&gt;=5,"MEDIUM","LOW"))</f>
        <v/>
      </c>
      <c r="E9">
        <f>IFERROR(ROUND(AVERAGEIF(MedicalData[Type of program],A9,MedicalData[Age]),0),"")</f>
        <v/>
      </c>
    </row>
    <row r="10">
      <c r="A10" t="inlineStr">
        <is>
          <t>Kicking Boxing</t>
        </is>
      </c>
      <c r="B10">
        <f>COUNTIF(MedicalData[Type of program],A10)</f>
        <v/>
      </c>
      <c r="C10" s="35">
        <f>IF(SUM($B$4:$B$20)=0,0,B10/SUM($B$4:$B$20))</f>
        <v/>
      </c>
      <c r="D10">
        <f>IF(B10&gt;=10,"HIGH",IF(B10&gt;=5,"MEDIUM","LOW"))</f>
        <v/>
      </c>
      <c r="E10">
        <f>IFERROR(ROUND(AVERAGEIF(MedicalData[Type of program],A10,MedicalData[Age]),0),"")</f>
        <v/>
      </c>
    </row>
    <row r="11">
      <c r="A11" t="inlineStr">
        <is>
          <t>Running with the pack</t>
        </is>
      </c>
      <c r="B11">
        <f>COUNTIF(MedicalData[Type of program],A11)</f>
        <v/>
      </c>
      <c r="C11" s="35">
        <f>IF(SUM($B$4:$B$20)=0,0,B11/SUM($B$4:$B$20))</f>
        <v/>
      </c>
      <c r="D11">
        <f>IF(B11&gt;=10,"HIGH",IF(B11&gt;=5,"MEDIUM","LOW"))</f>
        <v/>
      </c>
      <c r="E11">
        <f>IFERROR(ROUND(AVERAGEIF(MedicalData[Type of program],A11,MedicalData[Age]),0),"")</f>
        <v/>
      </c>
    </row>
    <row r="12">
      <c r="A12" t="inlineStr">
        <is>
          <t>Dancing</t>
        </is>
      </c>
      <c r="B12">
        <f>COUNTIF(MedicalData[Type of program],A12)</f>
        <v/>
      </c>
      <c r="C12" s="35">
        <f>IF(SUM($B$4:$B$20)=0,0,B12/SUM($B$4:$B$20))</f>
        <v/>
      </c>
      <c r="D12">
        <f>IF(B12&gt;=10,"HIGH",IF(B12&gt;=5,"MEDIUM","LOW"))</f>
        <v/>
      </c>
      <c r="E12">
        <f>IFERROR(ROUND(AVERAGEIF(MedicalData[Type of program],A12,MedicalData[Age]),0),"")</f>
        <v/>
      </c>
    </row>
    <row r="13">
      <c r="A13" t="inlineStr">
        <is>
          <t>LFA</t>
        </is>
      </c>
      <c r="B13">
        <f>COUNTIF(MedicalData[Type of program],A13)</f>
        <v/>
      </c>
      <c r="C13" s="35">
        <f>IF(SUM($B$4:$B$20)=0,0,B13/SUM($B$4:$B$20))</f>
        <v/>
      </c>
      <c r="D13">
        <f>IF(B13&gt;=10,"HIGH",IF(B13&gt;=5,"MEDIUM","LOW"))</f>
        <v/>
      </c>
      <c r="E13">
        <f>IFERROR(ROUND(AVERAGEIF(MedicalData[Type of program],A13,MedicalData[Age]),0),"")</f>
        <v/>
      </c>
    </row>
    <row r="14">
      <c r="A14" t="inlineStr">
        <is>
          <t>Morning Show</t>
        </is>
      </c>
      <c r="B14">
        <f>COUNTIF(MedicalData[Type of program],A14)</f>
        <v/>
      </c>
      <c r="C14" s="35">
        <f>IF(SUM($B$4:$B$20)=0,0,B14/SUM($B$4:$B$20))</f>
        <v/>
      </c>
      <c r="D14">
        <f>IF(B14&gt;=10,"HIGH",IF(B14&gt;=5,"MEDIUM","LOW"))</f>
        <v/>
      </c>
      <c r="E14">
        <f>IFERROR(ROUND(AVERAGEIF(MedicalData[Type of program],A14,MedicalData[Age]),0),"")</f>
        <v/>
      </c>
    </row>
    <row r="15">
      <c r="A15" t="inlineStr">
        <is>
          <t>Her Game</t>
        </is>
      </c>
      <c r="B15">
        <f>COUNTIF(MedicalData[Type of program],A15)</f>
        <v/>
      </c>
      <c r="C15" s="35">
        <f>IF(SUM($B$4:$B$20)=0,0,B15/SUM($B$4:$B$20))</f>
        <v/>
      </c>
      <c r="D15">
        <f>IF(B15&gt;=10,"HIGH",IF(B15&gt;=5,"MEDIUM","LOW"))</f>
        <v/>
      </c>
      <c r="E15">
        <f>IFERROR(ROUND(AVERAGEIF(MedicalData[Type of program],A15,MedicalData[Age]),0),"")</f>
        <v/>
      </c>
    </row>
    <row r="16">
      <c r="A16" t="inlineStr">
        <is>
          <t>FNB Tournament</t>
        </is>
      </c>
      <c r="B16">
        <f>COUNTIF(MedicalData[Type of program],A16)</f>
        <v/>
      </c>
      <c r="C16" s="35">
        <f>IF(SUM($B$4:$B$20)=0,0,B16/SUM($B$4:$B$20))</f>
        <v/>
      </c>
      <c r="D16">
        <f>IF(B16&gt;=10,"HIGH",IF(B16&gt;=5,"MEDIUM","LOW"))</f>
        <v/>
      </c>
      <c r="E16">
        <f>IFERROR(ROUND(AVERAGEIF(MedicalData[Type of program],A16,MedicalData[Age]),0),"")</f>
        <v/>
      </c>
    </row>
    <row r="17">
      <c r="A17" t="inlineStr">
        <is>
          <t>OR Tambo Soncini Games</t>
        </is>
      </c>
      <c r="B17">
        <f>COUNTIF(MedicalData[Type of program],A17)</f>
        <v/>
      </c>
      <c r="C17" s="35">
        <f>IF(SUM($B$4:$B$20)=0,0,B17/SUM($B$4:$B$20))</f>
        <v/>
      </c>
      <c r="D17">
        <f>IF(B17&gt;=10,"HIGH",IF(B17&gt;=5,"MEDIUM","LOW"))</f>
        <v/>
      </c>
      <c r="E17">
        <f>IFERROR(ROUND(AVERAGEIF(MedicalData[Type of program],A17,MedicalData[Age]),0),"")</f>
        <v/>
      </c>
    </row>
    <row r="18">
      <c r="A18" t="inlineStr">
        <is>
          <t>Clinic Stix Morewa Challenge</t>
        </is>
      </c>
      <c r="B18">
        <f>COUNTIF(MedicalData[Type of program],A18)</f>
        <v/>
      </c>
      <c r="C18" s="35">
        <f>IF(SUM($B$4:$B$20)=0,0,B18/SUM($B$4:$B$20))</f>
        <v/>
      </c>
      <c r="D18">
        <f>IF(B18&gt;=10,"HIGH",IF(B18&gt;=5,"MEDIUM","LOW"))</f>
        <v/>
      </c>
      <c r="E18">
        <f>IFERROR(ROUND(AVERAGEIF(MedicalData[Type of program],A18,MedicalData[Age]),0),"")</f>
        <v/>
      </c>
    </row>
    <row r="19">
      <c r="A19" t="inlineStr">
        <is>
          <t>Discovery  Challenge</t>
        </is>
      </c>
      <c r="B19">
        <f>COUNTIF(MedicalData[Type of program],A19)</f>
        <v/>
      </c>
      <c r="C19" s="35">
        <f>IF(SUM($B$4:$B$20)=0,0,B19/SUM($B$4:$B$20))</f>
        <v/>
      </c>
      <c r="D19">
        <f>IF(B19&gt;=10,"HIGH",IF(B19&gt;=5,"MEDIUM","LOW"))</f>
        <v/>
      </c>
      <c r="E19">
        <f>IFERROR(ROUND(AVERAGEIF(MedicalData[Type of program],A19,MedicalData[Age]),0),"")</f>
        <v/>
      </c>
    </row>
    <row r="20">
      <c r="A20" t="inlineStr">
        <is>
          <t>NONE SPORTS CENTER</t>
        </is>
      </c>
      <c r="B20">
        <f>COUNTIF(MedicalData[Type of program],A20)</f>
        <v/>
      </c>
      <c r="C20" s="35">
        <f>IF(SUM($B$4:$B$20)=0,0,B20/SUM($B$4:$B$20))</f>
        <v/>
      </c>
      <c r="D20">
        <f>IF(B20&gt;=10,"HIGH",IF(B20&gt;=5,"MEDIUM","LOW"))</f>
        <v/>
      </c>
      <c r="E20">
        <f>IFERROR(ROUND(AVERAGEIF(MedicalData[Type of program],A20,MedicalData[Age]),0),"")</f>
        <v/>
      </c>
    </row>
    <row r="21">
      <c r="A21" s="30" t="inlineStr">
        <is>
          <t>TOTAL</t>
        </is>
      </c>
      <c r="B21" s="30">
        <f>SUM(B4:B20)</f>
        <v/>
      </c>
      <c r="C21" s="35">
        <f>SUM(C4:C20)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topLeftCell="A3" workbookViewId="0">
      <selection activeCell="C13" sqref="C13"/>
    </sheetView>
  </sheetViews>
  <sheetFormatPr baseColWidth="8" defaultRowHeight="15"/>
  <cols>
    <col width="14" customWidth="1" style="21" min="1" max="2"/>
    <col width="14" customWidth="1" style="21" min="2" max="2"/>
    <col width="10" customWidth="1" style="21" min="3" max="3"/>
    <col width="12" customWidth="1" style="21" min="4" max="4"/>
    <col width="12" customWidth="1" style="21" min="5" max="5"/>
  </cols>
  <sheetData>
    <row r="1" ht="18.75" customHeight="1" s="21">
      <c r="A1" s="37" t="inlineStr">
        <is>
          <t>TIME OF DAY ANALYSIS</t>
        </is>
      </c>
    </row>
    <row r="2">
      <c r="A2" t="inlineStr">
        <is>
          <t>Period:</t>
        </is>
      </c>
      <c r="B2" s="30">
        <f>Dashboard!B7</f>
        <v/>
      </c>
    </row>
    <row r="3">
      <c r="A3" s="38" t="inlineStr">
        <is>
          <t>Time Period</t>
        </is>
      </c>
      <c r="B3" s="38" t="inlineStr">
        <is>
          <t>Hour Range</t>
        </is>
      </c>
      <c r="C3" s="38" t="inlineStr">
        <is>
          <t>Count</t>
        </is>
      </c>
      <c r="D3" s="38" t="inlineStr">
        <is>
          <t>Risk Level</t>
        </is>
      </c>
      <c r="E3" s="38" t="inlineStr">
        <is>
          <t>% of Total</t>
        </is>
      </c>
    </row>
    <row r="4">
      <c r="A4" t="inlineStr">
        <is>
          <t>Morning</t>
        </is>
      </c>
      <c r="B4" t="inlineStr">
        <is>
          <t>6:00 - 11:59</t>
        </is>
      </c>
      <c r="C4">
        <f>IF(Dashboard!B4="Weekly",SUMPRODUCT((MedicalData[Month]=Dashboard!E4)*(INT((DAY(MedicalData[Date])-1)/7)+1=Dashboard!$M$4)*(MedicalData[Time Period]=A4)*1),IF(Dashboard!B4="Monthly",COUNTIFS(MedicalData[Time Period],A4,MedicalData[Month],Dashboard!E4),IF(Dashboard!B4="Quarterly",COUNTIFS(MedicalData[Time Period],A4,MedicalData[Quarter],Dashboard!K4),COUNTIF(MedicalData[Time Period],A4))))</f>
        <v/>
      </c>
      <c r="D4">
        <f>IF(C4&gt;=10,"🔴 HIGH",IF(C4&gt;=5,"🟡 MEDIUM","🟢 LOW"))</f>
        <v/>
      </c>
      <c r="E4" s="35">
        <f>IF(SUM($C$4:$C$7)=0,0,C4/SUM($C$4:$C$7))</f>
        <v/>
      </c>
    </row>
    <row r="5">
      <c r="A5" t="inlineStr">
        <is>
          <t>Afternoon</t>
        </is>
      </c>
      <c r="B5" t="inlineStr">
        <is>
          <t>12:00 - 17:59</t>
        </is>
      </c>
      <c r="C5">
        <f>IF(Dashboard!B4="Weekly",SUMPRODUCT((MedicalData[Month]=Dashboard!E4)*(INT((DAY(MedicalData[Date])-1)/7)+1=Dashboard!$M$4)*(MedicalData[Time Period]=A5)*1),IF(Dashboard!B4="Monthly",COUNTIFS(MedicalData[Time Period],A5,MedicalData[Month],Dashboard!E4),IF(Dashboard!B4="Quarterly",COUNTIFS(MedicalData[Time Period],A5,MedicalData[Quarter],Dashboard!K4),COUNTIF(MedicalData[Time Period],A5))))</f>
        <v/>
      </c>
      <c r="D5">
        <f>IF(C5&gt;=10,"🔴 HIGH",IF(C5&gt;=5,"🟡 MEDIUM","🟢 LOW"))</f>
        <v/>
      </c>
      <c r="E5" s="35">
        <f>IF(SUM($C$4:$C$7)=0,0,C5/SUM($C$4:$C$7))</f>
        <v/>
      </c>
    </row>
    <row r="6">
      <c r="A6" t="inlineStr">
        <is>
          <t>Evening</t>
        </is>
      </c>
      <c r="B6" t="inlineStr">
        <is>
          <t>18:00 - 21:59</t>
        </is>
      </c>
      <c r="C6">
        <f>IF(Dashboard!B4="Weekly",SUMPRODUCT((MedicalData[Month]=Dashboard!E4)*(INT((DAY(MedicalData[Date])-1)/7)+1=Dashboard!$M$4)*(MedicalData[Time Period]=A6)*1),IF(Dashboard!B4="Monthly",COUNTIFS(MedicalData[Time Period],A6,MedicalData[Month],Dashboard!E4),IF(Dashboard!B4="Quarterly",COUNTIFS(MedicalData[Time Period],A6,MedicalData[Quarter],Dashboard!K4),COUNTIF(MedicalData[Time Period],A6))))</f>
        <v/>
      </c>
      <c r="D6">
        <f>IF(C6&gt;=10,"🔴 HIGH",IF(C6&gt;=5,"🟡 MEDIUM","🟢 LOW"))</f>
        <v/>
      </c>
      <c r="E6" s="35">
        <f>IF(SUM($C$4:$C$7)=0,0,C6/SUM($C$4:$C$7))</f>
        <v/>
      </c>
    </row>
    <row r="7">
      <c r="A7" t="inlineStr">
        <is>
          <t>Night</t>
        </is>
      </c>
      <c r="B7" t="inlineStr">
        <is>
          <t>22:00 - 5:59</t>
        </is>
      </c>
      <c r="C7">
        <f>IF(Dashboard!B4="Weekly",SUMPRODUCT((MedicalData[Month]=Dashboard!E4)*(INT((DAY(MedicalData[Date])-1)/7)+1=Dashboard!$M$4)*(MedicalData[Time Period]=A7)*1),IF(Dashboard!B4="Monthly",COUNTIFS(MedicalData[Time Period],A7,MedicalData[Month],Dashboard!E4),IF(Dashboard!B4="Quarterly",COUNTIFS(MedicalData[Time Period],A7,MedicalData[Quarter],Dashboard!K4),COUNTIF(MedicalData[Time Period],A7))))</f>
        <v/>
      </c>
      <c r="D7">
        <f>IF(C7&gt;=10,"🔴 HIGH",IF(C7&gt;=5,"🟡 MEDIUM","🟢 LOW"))</f>
        <v/>
      </c>
      <c r="E7" s="35">
        <f>IF(SUM($C$4:$C$7)=0,0,C7/SUM($C$4:$C$7))</f>
        <v/>
      </c>
    </row>
    <row r="8">
      <c r="A8" t="inlineStr">
        <is>
          <t>Total</t>
        </is>
      </c>
      <c r="C8">
        <f>SUM(C4:C7)</f>
        <v/>
      </c>
      <c r="E8" s="35">
        <f>SUM(E4:E7)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 of program</t>
        </is>
      </c>
      <c r="C1" t="inlineStr">
        <is>
          <t>Priority Of Pt</t>
        </is>
      </c>
      <c r="E1" t="inlineStr">
        <is>
          <t>All Time</t>
        </is>
      </c>
      <c r="G1" s="30" t="inlineStr">
        <is>
          <t>Report Type</t>
        </is>
      </c>
      <c r="H1" s="30" t="inlineStr">
        <is>
          <t>Week</t>
        </is>
      </c>
      <c r="I1" s="30" t="inlineStr">
        <is>
          <t>Quarter</t>
        </is>
      </c>
    </row>
    <row r="2">
      <c r="A2" t="inlineStr">
        <is>
          <t>Bystander</t>
        </is>
      </c>
      <c r="C2" t="inlineStr">
        <is>
          <t>Priority 1</t>
        </is>
      </c>
      <c r="E2" t="inlineStr">
        <is>
          <t>Jan-24</t>
        </is>
      </c>
      <c r="G2" t="inlineStr">
        <is>
          <t>Monthly</t>
        </is>
      </c>
      <c r="H2" t="inlineStr">
        <is>
          <t>Week 1</t>
        </is>
      </c>
      <c r="I2" t="inlineStr">
        <is>
          <t>Q1</t>
        </is>
      </c>
    </row>
    <row r="3">
      <c r="A3" t="inlineStr">
        <is>
          <t>Training</t>
        </is>
      </c>
      <c r="C3" t="inlineStr">
        <is>
          <t>Priority 2</t>
        </is>
      </c>
      <c r="E3" t="inlineStr">
        <is>
          <t>Feb-24</t>
        </is>
      </c>
      <c r="G3" t="inlineStr">
        <is>
          <t>Weekly</t>
        </is>
      </c>
      <c r="H3" t="inlineStr">
        <is>
          <t>Week 2</t>
        </is>
      </c>
      <c r="I3" t="inlineStr">
        <is>
          <t>Q2</t>
        </is>
      </c>
    </row>
    <row r="4">
      <c r="A4" t="inlineStr">
        <is>
          <t>Yoga</t>
        </is>
      </c>
      <c r="C4" t="inlineStr">
        <is>
          <t>Priority 3</t>
        </is>
      </c>
      <c r="E4" t="inlineStr">
        <is>
          <t>Mar-24</t>
        </is>
      </c>
      <c r="G4" t="inlineStr">
        <is>
          <t>Quarterly</t>
        </is>
      </c>
      <c r="H4" t="inlineStr">
        <is>
          <t>Week 3</t>
        </is>
      </c>
      <c r="I4" t="inlineStr">
        <is>
          <t>Q3</t>
        </is>
      </c>
    </row>
    <row r="5">
      <c r="A5" t="inlineStr">
        <is>
          <t>Girl Skate</t>
        </is>
      </c>
      <c r="C5" t="inlineStr">
        <is>
          <t>Priority 4</t>
        </is>
      </c>
      <c r="E5" t="inlineStr">
        <is>
          <t>Apr-24</t>
        </is>
      </c>
      <c r="H5" t="inlineStr">
        <is>
          <t>Week 4</t>
        </is>
      </c>
      <c r="I5" t="inlineStr">
        <is>
          <t>Q4</t>
        </is>
      </c>
    </row>
    <row r="6">
      <c r="A6" t="inlineStr">
        <is>
          <t>Kicking Boxing</t>
        </is>
      </c>
      <c r="E6" t="inlineStr">
        <is>
          <t>May-24</t>
        </is>
      </c>
      <c r="H6" t="inlineStr">
        <is>
          <t>Week 5</t>
        </is>
      </c>
    </row>
    <row r="7">
      <c r="A7" t="inlineStr">
        <is>
          <t>Running with the pack</t>
        </is>
      </c>
      <c r="E7" t="inlineStr">
        <is>
          <t>Jun-24</t>
        </is>
      </c>
    </row>
    <row r="8">
      <c r="A8" t="inlineStr">
        <is>
          <t>Dancing</t>
        </is>
      </c>
      <c r="E8" t="inlineStr">
        <is>
          <t>Jul-24</t>
        </is>
      </c>
    </row>
    <row r="9">
      <c r="A9" t="inlineStr">
        <is>
          <t>LFA</t>
        </is>
      </c>
      <c r="E9" t="inlineStr">
        <is>
          <t>Aug-24</t>
        </is>
      </c>
    </row>
    <row r="10">
      <c r="A10" t="inlineStr">
        <is>
          <t>Morning Show</t>
        </is>
      </c>
      <c r="E10" t="inlineStr">
        <is>
          <t>Sep-24</t>
        </is>
      </c>
    </row>
    <row r="11">
      <c r="A11" t="inlineStr">
        <is>
          <t>Her Game</t>
        </is>
      </c>
      <c r="E11" t="inlineStr">
        <is>
          <t>Oct-24</t>
        </is>
      </c>
    </row>
    <row r="12">
      <c r="A12" t="inlineStr">
        <is>
          <t>FNB Tournament</t>
        </is>
      </c>
      <c r="E12" t="inlineStr">
        <is>
          <t>Nov-24</t>
        </is>
      </c>
    </row>
    <row r="13">
      <c r="A13" t="inlineStr">
        <is>
          <t>OR Tambo Soncini Games</t>
        </is>
      </c>
      <c r="E13" t="inlineStr">
        <is>
          <t>Dec-24</t>
        </is>
      </c>
    </row>
    <row r="14">
      <c r="A14" t="inlineStr">
        <is>
          <t>Clinic Stix Morewa Challenge</t>
        </is>
      </c>
      <c r="E14" t="inlineStr">
        <is>
          <t>Jan-25</t>
        </is>
      </c>
    </row>
    <row r="15">
      <c r="A15" t="inlineStr">
        <is>
          <t>Discovery  Challenge</t>
        </is>
      </c>
      <c r="E15" t="inlineStr">
        <is>
          <t>Feb-25</t>
        </is>
      </c>
    </row>
    <row r="16">
      <c r="A16" t="inlineStr">
        <is>
          <t>Afternoon Program</t>
        </is>
      </c>
      <c r="E16" t="inlineStr">
        <is>
          <t>Mar-25</t>
        </is>
      </c>
    </row>
    <row r="17">
      <c r="A17" t="inlineStr">
        <is>
          <t>Open Play</t>
        </is>
      </c>
      <c r="E17" t="inlineStr">
        <is>
          <t>Apr-25</t>
        </is>
      </c>
    </row>
    <row r="18">
      <c r="A18" t="inlineStr">
        <is>
          <t>Cause  of injury</t>
        </is>
      </c>
      <c r="E18" t="inlineStr">
        <is>
          <t>May-25</t>
        </is>
      </c>
    </row>
    <row r="19">
      <c r="A19" t="inlineStr">
        <is>
          <t>Activity</t>
        </is>
      </c>
      <c r="E19" t="inlineStr">
        <is>
          <t>Jun-25</t>
        </is>
      </c>
    </row>
    <row r="20">
      <c r="A20" t="inlineStr">
        <is>
          <t>Equipment</t>
        </is>
      </c>
      <c r="E20" t="inlineStr">
        <is>
          <t>Jul-25</t>
        </is>
      </c>
    </row>
    <row r="21">
      <c r="A21" t="inlineStr">
        <is>
          <t>Enviroment</t>
        </is>
      </c>
      <c r="E21" t="inlineStr">
        <is>
          <t>Aug-25</t>
        </is>
      </c>
    </row>
    <row r="22">
      <c r="A22" t="inlineStr">
        <is>
          <t>NONE SPORTS CENTER</t>
        </is>
      </c>
      <c r="E22" t="inlineStr">
        <is>
          <t>Sep-25</t>
        </is>
      </c>
    </row>
    <row r="23">
      <c r="E23" t="inlineStr">
        <is>
          <t>Oct-25</t>
        </is>
      </c>
    </row>
    <row r="24">
      <c r="E24" t="inlineStr">
        <is>
          <t>Nov-25</t>
        </is>
      </c>
    </row>
    <row r="25">
      <c r="E25" t="inlineStr">
        <is>
          <t>Dec-25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2" customWidth="1" style="21" min="1" max="1"/>
    <col width="25" customWidth="1" style="21" min="2" max="2"/>
    <col width="12" customWidth="1" style="21" min="3" max="3"/>
    <col width="14" customWidth="1" style="21" min="4" max="4"/>
    <col width="12" customWidth="1" style="21" min="5" max="5"/>
  </cols>
  <sheetData>
    <row r="1">
      <c r="A1" s="37" t="inlineStr">
        <is>
          <t>INCIDENT SEVERITY ANALYSIS</t>
        </is>
      </c>
    </row>
    <row r="3">
      <c r="A3" s="39" t="inlineStr">
        <is>
          <t>PRIORITY DISTRIBUTION</t>
        </is>
      </c>
    </row>
    <row r="5">
      <c r="A5" s="38" t="inlineStr">
        <is>
          <t>Priority</t>
        </is>
      </c>
      <c r="B5" s="38" t="inlineStr">
        <is>
          <t>Description</t>
        </is>
      </c>
      <c r="C5" s="38" t="inlineStr">
        <is>
          <t>Count</t>
        </is>
      </c>
      <c r="D5" s="38" t="inlineStr">
        <is>
          <t>% of Total</t>
        </is>
      </c>
      <c r="E5" s="38" t="inlineStr">
        <is>
          <t>Status</t>
        </is>
      </c>
    </row>
    <row r="6">
      <c r="A6" t="inlineStr">
        <is>
          <t>P1</t>
        </is>
      </c>
      <c r="B6" t="inlineStr">
        <is>
          <t>Critical - Life threatening</t>
        </is>
      </c>
      <c r="C6">
        <f>COUNTIF(MedicalData[Priority Of Pt],A6)</f>
        <v/>
      </c>
      <c r="D6" s="35">
        <f>IF(SUM($C$6:$C$9)=0,0,C6/SUM($C$6:$C$9))</f>
        <v/>
      </c>
      <c r="E6" t="inlineStr">
        <is>
          <t>CRITICAL</t>
        </is>
      </c>
    </row>
    <row r="7">
      <c r="A7" t="inlineStr">
        <is>
          <t>P2</t>
        </is>
      </c>
      <c r="B7" t="inlineStr">
        <is>
          <t>Urgent - Serious injury</t>
        </is>
      </c>
      <c r="C7">
        <f>COUNTIF(MedicalData[Priority Of Pt],A7)</f>
        <v/>
      </c>
      <c r="D7" s="35">
        <f>IF(SUM($C$6:$C$9)=0,0,C7/SUM($C$6:$C$9))</f>
        <v/>
      </c>
      <c r="E7" t="inlineStr">
        <is>
          <t>URGENT</t>
        </is>
      </c>
    </row>
    <row r="8">
      <c r="A8" t="inlineStr">
        <is>
          <t>P3</t>
        </is>
      </c>
      <c r="B8" t="inlineStr">
        <is>
          <t>Standard - Moderate injury</t>
        </is>
      </c>
      <c r="C8">
        <f>COUNTIF(MedicalData[Priority Of Pt],A8)</f>
        <v/>
      </c>
      <c r="D8" s="35">
        <f>IF(SUM($C$6:$C$9)=0,0,C8/SUM($C$6:$C$9))</f>
        <v/>
      </c>
      <c r="E8" t="inlineStr">
        <is>
          <t>STANDARD</t>
        </is>
      </c>
    </row>
    <row r="9">
      <c r="A9" t="inlineStr">
        <is>
          <t>P4</t>
        </is>
      </c>
      <c r="B9" t="inlineStr">
        <is>
          <t>Minor - First aid only</t>
        </is>
      </c>
      <c r="C9">
        <f>COUNTIF(MedicalData[Priority Of Pt],A9)</f>
        <v/>
      </c>
      <c r="D9" s="35">
        <f>IF(SUM($C$6:$C$9)=0,0,C9/SUM($C$6:$C$9))</f>
        <v/>
      </c>
      <c r="E9" t="inlineStr">
        <is>
          <t>MINOR</t>
        </is>
      </c>
    </row>
    <row r="10">
      <c r="A10" s="30" t="inlineStr">
        <is>
          <t>TOTAL</t>
        </is>
      </c>
      <c r="C10" s="30">
        <f>SUM(C6:C9)</f>
        <v/>
      </c>
      <c r="D10" s="35">
        <f>SUM(D6:D9)</f>
        <v/>
      </c>
    </row>
    <row r="13">
      <c r="A13" s="39" t="inlineStr">
        <is>
          <t>HOSPITAL TRANSPORTATION ANALYSIS</t>
        </is>
      </c>
    </row>
    <row r="15">
      <c r="A15" s="38" t="inlineStr">
        <is>
          <t>Status</t>
        </is>
      </c>
      <c r="B15" s="38" t="inlineStr">
        <is>
          <t>Count</t>
        </is>
      </c>
      <c r="C15" s="38" t="inlineStr">
        <is>
          <t>% of Total</t>
        </is>
      </c>
      <c r="D15" s="38" t="inlineStr">
        <is>
          <t>Notes</t>
        </is>
      </c>
    </row>
    <row r="16">
      <c r="A16" t="inlineStr">
        <is>
          <t>Required Transport</t>
        </is>
      </c>
      <c r="B16">
        <f>COUNTIF(MedicalData[Hospital Transportation],"Yes")</f>
        <v/>
      </c>
      <c r="C16" s="35">
        <f>IF(SUM($B$16:$B$17)=0,0,B16/SUM($B$16:$B$17))</f>
        <v/>
      </c>
      <c r="D16" t="inlineStr">
        <is>
          <t>Cases requiring ambulance</t>
        </is>
      </c>
    </row>
    <row r="17">
      <c r="A17" t="inlineStr">
        <is>
          <t>Treated On-Site</t>
        </is>
      </c>
      <c r="B17">
        <f>COUNTIF(MedicalData[Hospital Transportation],"NO")</f>
        <v/>
      </c>
      <c r="C17" s="35">
        <f>IF(SUM($B$16:$B$17)=0,0,B17/SUM($B$16:$B$17))</f>
        <v/>
      </c>
      <c r="D17" t="inlineStr">
        <is>
          <t>Resolved without transport</t>
        </is>
      </c>
    </row>
    <row r="18">
      <c r="A18" s="30" t="inlineStr">
        <is>
          <t>TOTAL</t>
        </is>
      </c>
      <c r="B18" s="30">
        <f>SUM(B16:B17)</f>
        <v/>
      </c>
      <c r="C18" s="35" t="n"/>
    </row>
    <row r="21">
      <c r="A21" s="39" t="inlineStr">
        <is>
          <t>HIGH PRIORITY INCIDENTS BY VENUE</t>
        </is>
      </c>
    </row>
    <row r="23">
      <c r="A23" s="38" t="inlineStr">
        <is>
          <t>Venue</t>
        </is>
      </c>
      <c r="B23" s="38" t="inlineStr">
        <is>
          <t>P1+P2 Cases</t>
        </is>
      </c>
      <c r="C23" s="38" t="inlineStr">
        <is>
          <t>All Cases</t>
        </is>
      </c>
      <c r="D23" s="38" t="inlineStr">
        <is>
          <t>Severity Rate</t>
        </is>
      </c>
    </row>
    <row r="24">
      <c r="A24" t="inlineStr">
        <is>
          <t xml:space="preserve">11- A side </t>
        </is>
      </c>
      <c r="B24">
        <f>COUNTIFS(MedicalData[Site],A24,MedicalData[Priority Of Pt],"P1")+COUNTIFS(MedicalData[Site],A24,MedicalData[Priority Of Pt],"P2")</f>
        <v/>
      </c>
      <c r="C24">
        <f>COUNTIF(MedicalData[Site],A24)</f>
        <v/>
      </c>
      <c r="D24" s="35">
        <f>IF(C24=0,0,B24/C24)</f>
        <v/>
      </c>
    </row>
    <row r="25">
      <c r="A25" t="inlineStr">
        <is>
          <t xml:space="preserve">5 A side </t>
        </is>
      </c>
      <c r="B25">
        <f>COUNTIFS(MedicalData[Site],A25,MedicalData[Priority Of Pt],"P1")+COUNTIFS(MedicalData[Site],A25,MedicalData[Priority Of Pt],"P2")</f>
        <v/>
      </c>
      <c r="C25">
        <f>COUNTIF(MedicalData[Site],A25)</f>
        <v/>
      </c>
      <c r="D25" s="35">
        <f>IF(C25=0,0,B25/C25)</f>
        <v/>
      </c>
    </row>
    <row r="26">
      <c r="A26" t="inlineStr">
        <is>
          <t>Skate Park</t>
        </is>
      </c>
      <c r="B26">
        <f>COUNTIFS(MedicalData[Site],A26,MedicalData[Priority Of Pt],"P1")+COUNTIFS(MedicalData[Site],A26,MedicalData[Priority Of Pt],"P2")</f>
        <v/>
      </c>
      <c r="C26">
        <f>COUNTIF(MedicalData[Site],A26)</f>
        <v/>
      </c>
      <c r="D26" s="35">
        <f>IF(C26=0,0,B26/C26)</f>
        <v/>
      </c>
    </row>
    <row r="27">
      <c r="A27" t="inlineStr">
        <is>
          <t>Basketball</t>
        </is>
      </c>
      <c r="B27">
        <f>COUNTIFS(MedicalData[Site],A27,MedicalData[Priority Of Pt],"P1")+COUNTIFS(MedicalData[Site],A27,MedicalData[Priority Of Pt],"P2")</f>
        <v/>
      </c>
      <c r="C27">
        <f>COUNTIF(MedicalData[Site],A27)</f>
        <v/>
      </c>
      <c r="D27" s="35">
        <f>IF(C27=0,0,B27/C27)</f>
        <v/>
      </c>
    </row>
    <row r="28">
      <c r="A28" t="inlineStr">
        <is>
          <t>Outdoor gym</t>
        </is>
      </c>
      <c r="B28">
        <f>COUNTIFS(MedicalData[Site],A28,MedicalData[Priority Of Pt],"P1")+COUNTIFS(MedicalData[Site],A28,MedicalData[Priority Of Pt],"P2")</f>
        <v/>
      </c>
      <c r="C28">
        <f>COUNTIF(MedicalData[Site],A28)</f>
        <v/>
      </c>
      <c r="D28" s="35">
        <f>IF(C28=0,0,B28/C28)</f>
        <v/>
      </c>
    </row>
    <row r="29">
      <c r="A29" t="inlineStr">
        <is>
          <t>Athletics track</t>
        </is>
      </c>
      <c r="B29">
        <f>COUNTIFS(MedicalData[Site],A29,MedicalData[Priority Of Pt],"P1")+COUNTIFS(MedicalData[Site],A29,MedicalData[Priority Of Pt],"P2")</f>
        <v/>
      </c>
      <c r="C29">
        <f>COUNTIF(MedicalData[Site],A29)</f>
        <v/>
      </c>
      <c r="D29" s="35">
        <f>IF(C29=0,0,B29/C29)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2" customWidth="1" style="21" min="1" max="1"/>
    <col width="10" customWidth="1" style="21" min="2" max="2"/>
    <col width="15" customWidth="1" style="21" min="4" max="4"/>
    <col width="10" customWidth="1" style="21" min="5" max="5"/>
  </cols>
  <sheetData>
    <row r="1">
      <c r="A1" s="32" t="inlineStr">
        <is>
          <t>FILTERED CHART DATA</t>
        </is>
      </c>
    </row>
    <row r="2">
      <c r="A2" s="43" t="inlineStr">
        <is>
          <t>(Updates based on Dashboard selections)</t>
        </is>
      </c>
    </row>
    <row r="4">
      <c r="A4" s="30" t="inlineStr">
        <is>
          <t>VENUE DATA</t>
        </is>
      </c>
      <c r="D4" s="30" t="inlineStr">
        <is>
          <t>AGE DATA</t>
        </is>
      </c>
    </row>
    <row r="5">
      <c r="A5" s="30" t="inlineStr">
        <is>
          <t>Venue</t>
        </is>
      </c>
      <c r="B5" s="30" t="inlineStr">
        <is>
          <t>Count</t>
        </is>
      </c>
      <c r="D5" s="30" t="inlineStr">
        <is>
          <t>Age Group</t>
        </is>
      </c>
      <c r="E5" s="30" t="inlineStr">
        <is>
          <t>Count</t>
        </is>
      </c>
    </row>
    <row r="6">
      <c r="A6" t="inlineStr">
        <is>
          <t>Skate Park</t>
        </is>
      </c>
      <c r="B6">
        <f>IF(Dashboard!B4="Weekly",SUMPRODUCT((TEXT(MedicalData[Date],"MMM-YY")=Dashboard!E4)*(INT((DAY(MedicalData[Date])-1)/7)+1=VALUE(RIGHT(Dashboard!H4,1)))*(MedicalData[Site]=A6)*1),IF(Dashboard!B4="Monthly",COUNTIFS(MedicalData[Site],A6,MedicalData[Month],Dashboard!E4),IF(Dashboard!B4="Quarterly",COUNTIFS(MedicalData[Site],A6,MedicalData[Quarter],Dashboard!K4),COUNTIF(MedicalData[Site],A6))))</f>
        <v/>
      </c>
      <c r="D6" t="inlineStr">
        <is>
          <t>0-12 years</t>
        </is>
      </c>
      <c r="E6">
        <f>IF(Dashboard!B4="Monthly",COUNTIFS(MedicalData[Age],"&gt;=0",MedicalData[Age],"&lt;=12",MedicalData[Month],Dashboard!E4),IF(Dashboard!B4="Quarterly",COUNTIFS(MedicalData[Age],"&gt;=0",MedicalData[Age],"&lt;=12",MedicalData[Quarter],Dashboard!K4),COUNTIFS(MedicalData[Age],"&gt;=0",MedicalData[Age],"&lt;=12")))</f>
        <v/>
      </c>
    </row>
    <row r="7">
      <c r="A7" t="inlineStr">
        <is>
          <t xml:space="preserve">5 A side </t>
        </is>
      </c>
      <c r="B7">
        <f>IF(Dashboard!B4="Weekly",SUMPRODUCT((TEXT(MedicalData[Date],"MMM-YY")=Dashboard!E4)*(INT((DAY(MedicalData[Date])-1)/7)+1=VALUE(RIGHT(Dashboard!H4,1)))*(MedicalData[Site]=A7)*1),IF(Dashboard!B4="Monthly",COUNTIFS(MedicalData[Site],A7,MedicalData[Month],Dashboard!E4),IF(Dashboard!B4="Quarterly",COUNTIFS(MedicalData[Site],A7,MedicalData[Quarter],Dashboard!K4),COUNTIF(MedicalData[Site],A7))))</f>
        <v/>
      </c>
      <c r="D7" t="inlineStr">
        <is>
          <t>13-17 years</t>
        </is>
      </c>
      <c r="E7">
        <f>IF(Dashboard!B4="Monthly",COUNTIFS(MedicalData[Age],"&gt;=13",MedicalData[Age],"&lt;=17",MedicalData[Month],Dashboard!E4),IF(Dashboard!B4="Quarterly",COUNTIFS(MedicalData[Age],"&gt;=13",MedicalData[Age],"&lt;=17",MedicalData[Quarter],Dashboard!K4),COUNTIFS(MedicalData[Age],"&gt;=13",MedicalData[Age],"&lt;=17")))</f>
        <v/>
      </c>
    </row>
    <row r="8">
      <c r="A8" t="inlineStr">
        <is>
          <t>Basketball</t>
        </is>
      </c>
      <c r="B8">
        <f>IF(Dashboard!B4="Weekly",SUMPRODUCT((TEXT(MedicalData[Date],"MMM-YY")=Dashboard!E4)*(INT((DAY(MedicalData[Date])-1)/7)+1=VALUE(RIGHT(Dashboard!H4,1)))*(MedicalData[Site]=A8)*1),IF(Dashboard!B4="Monthly",COUNTIFS(MedicalData[Site],A8,MedicalData[Month],Dashboard!E4),IF(Dashboard!B4="Quarterly",COUNTIFS(MedicalData[Site],A8,MedicalData[Quarter],Dashboard!K4),COUNTIF(MedicalData[Site],A8))))</f>
        <v/>
      </c>
      <c r="D8" t="inlineStr">
        <is>
          <t>18-25 years</t>
        </is>
      </c>
      <c r="E8">
        <f>IF(Dashboard!B4="Monthly",COUNTIFS(MedicalData[Age],"&gt;=18",MedicalData[Age],"&lt;=25",MedicalData[Month],Dashboard!E4),IF(Dashboard!B4="Quarterly",COUNTIFS(MedicalData[Age],"&gt;=18",MedicalData[Age],"&lt;=25",MedicalData[Quarter],Dashboard!K4),COUNTIFS(MedicalData[Age],"&gt;=18",MedicalData[Age],"&lt;=25")))</f>
        <v/>
      </c>
    </row>
    <row r="9">
      <c r="A9" t="inlineStr">
        <is>
          <t>Outdoor gym</t>
        </is>
      </c>
      <c r="B9">
        <f>IF(Dashboard!B4="Weekly",SUMPRODUCT((TEXT(MedicalData[Date],"MMM-YY")=Dashboard!E4)*(INT((DAY(MedicalData[Date])-1)/7)+1=VALUE(RIGHT(Dashboard!H4,1)))*(MedicalData[Site]=A9)*1),IF(Dashboard!B4="Monthly",COUNTIFS(MedicalData[Site],A9,MedicalData[Month],Dashboard!E4),IF(Dashboard!B4="Quarterly",COUNTIFS(MedicalData[Site],A9,MedicalData[Quarter],Dashboard!K4),COUNTIF(MedicalData[Site],A9))))</f>
        <v/>
      </c>
      <c r="D9" t="inlineStr">
        <is>
          <t>26-35 years</t>
        </is>
      </c>
      <c r="E9">
        <f>IF(Dashboard!B4="Monthly",COUNTIFS(MedicalData[Age],"&gt;=26",MedicalData[Age],"&lt;=35",MedicalData[Month],Dashboard!E4),IF(Dashboard!B4="Quarterly",COUNTIFS(MedicalData[Age],"&gt;=26",MedicalData[Age],"&lt;=35",MedicalData[Quarter],Dashboard!K4),COUNTIFS(MedicalData[Age],"&gt;=26",MedicalData[Age],"&lt;=35")))</f>
        <v/>
      </c>
    </row>
    <row r="10">
      <c r="A10" t="inlineStr">
        <is>
          <t xml:space="preserve">JDI Studio </t>
        </is>
      </c>
      <c r="B10">
        <f>IF(Dashboard!B4="Weekly",SUMPRODUCT((TEXT(MedicalData[Date],"MMM-YY")=Dashboard!E4)*(INT((DAY(MedicalData[Date])-1)/7)+1=VALUE(RIGHT(Dashboard!H4,1)))*(MedicalData[Site]=A10)*1),IF(Dashboard!B4="Monthly",COUNTIFS(MedicalData[Site],A10,MedicalData[Month],Dashboard!E4),IF(Dashboard!B4="Quarterly",COUNTIFS(MedicalData[Site],A10,MedicalData[Quarter],Dashboard!K4),COUNTIF(MedicalData[Site],A10))))</f>
        <v/>
      </c>
      <c r="D10" t="inlineStr">
        <is>
          <t>36+ years</t>
        </is>
      </c>
      <c r="E10">
        <f>IF(Dashboard!B4="Monthly",COUNTIFS(MedicalData[Age],"&gt;=36",MedicalData[Month],Dashboard!E4),IF(Dashboard!B4="Quarterly",COUNTIFS(MedicalData[Age],"&gt;=36",MedicalData[Quarter],Dashboard!K4),COUNTIFS(MedicalData[Age],"&gt;=36")))</f>
        <v/>
      </c>
    </row>
    <row r="11">
      <c r="A11" t="inlineStr">
        <is>
          <t xml:space="preserve">11- A side </t>
        </is>
      </c>
      <c r="B11">
        <f>IF(Dashboard!B4="Weekly",SUMPRODUCT((TEXT(MedicalData[Date],"MMM-YY")=Dashboard!E4)*(INT((DAY(MedicalData[Date])-1)/7)+1=VALUE(RIGHT(Dashboard!H4,1)))*(MedicalData[Site]=A11)*1),IF(Dashboard!B4="Monthly",COUNTIFS(MedicalData[Site],A11,MedicalData[Month],Dashboard!E4),IF(Dashboard!B4="Quarterly",COUNTIFS(MedicalData[Site],A11,MedicalData[Quarter],Dashboard!K4),COUNTIF(MedicalData[Site],A11))))</f>
        <v/>
      </c>
    </row>
    <row r="12">
      <c r="A12" t="inlineStr">
        <is>
          <t>Athletics track</t>
        </is>
      </c>
      <c r="B12">
        <f>IF(Dashboard!B4="Weekly",SUMPRODUCT((TEXT(MedicalData[Date],"MMM-YY")=Dashboard!E4)*(INT((DAY(MedicalData[Date])-1)/7)+1=VALUE(RIGHT(Dashboard!H4,1)))*(MedicalData[Site]=A12)*1),IF(Dashboard!B4="Monthly",COUNTIFS(MedicalData[Site],A12,MedicalData[Month],Dashboard!E4),IF(Dashboard!B4="Quarterly",COUNTIFS(MedicalData[Site],A12,MedicalData[Quarter],Dashboard!K4),COUNTIF(MedicalData[Site],A12))))</f>
        <v/>
      </c>
    </row>
    <row r="13">
      <c r="A13" t="inlineStr">
        <is>
          <t>Change Rooms</t>
        </is>
      </c>
      <c r="B13">
        <f>IF(Dashboard!B4="Weekly",SUMPRODUCT((TEXT(MedicalData[Date],"MMM-YY")=Dashboard!E4)*(INT((DAY(MedicalData[Date])-1)/7)+1=VALUE(RIGHT(Dashboard!H4,1)))*(MedicalData[Site]=A13)*1),IF(Dashboard!B4="Monthly",COUNTIFS(MedicalData[Site],A13,MedicalData[Month],Dashboard!E4),IF(Dashboard!B4="Quarterly",COUNTIFS(MedicalData[Site],A13,MedicalData[Quarter],Dashboard!K4),COUNTIF(MedicalData[Site],A13))))</f>
        <v/>
      </c>
    </row>
    <row r="14">
      <c r="A14" t="inlineStr">
        <is>
          <t>1KM RUN/WALK PATH</t>
        </is>
      </c>
      <c r="B14">
        <f>IF(Dashboard!B4="Weekly",SUMPRODUCT((TEXT(MedicalData[Date],"MMM-YY")=Dashboard!E4)*(INT((DAY(MedicalData[Date])-1)/7)+1=VALUE(RIGHT(Dashboard!H4,1)))*(MedicalData[Site]=A14)*1),IF(Dashboard!B4="Monthly",COUNTIFS(MedicalData[Site],A14,MedicalData[Month],Dashboard!E4),IF(Dashboard!B4="Quarterly",COUNTIFS(MedicalData[Site],A14,MedicalData[Quarter],Dashboard!K4),COUNTIF(MedicalData[Site],A14))))</f>
        <v/>
      </c>
    </row>
    <row r="18">
      <c r="A18" s="30" t="inlineStr">
        <is>
          <t>MECHANISM DATA</t>
        </is>
      </c>
      <c r="D18" s="30" t="inlineStr">
        <is>
          <t>TIME DATA</t>
        </is>
      </c>
    </row>
    <row r="19">
      <c r="A19" s="30" t="inlineStr">
        <is>
          <t>Mechanism</t>
        </is>
      </c>
      <c r="B19" s="30" t="inlineStr">
        <is>
          <t>Count</t>
        </is>
      </c>
      <c r="D19" s="30" t="inlineStr">
        <is>
          <t>Time Period</t>
        </is>
      </c>
      <c r="E19" s="30" t="inlineStr">
        <is>
          <t>Count</t>
        </is>
      </c>
    </row>
    <row r="20">
      <c r="A20" t="inlineStr">
        <is>
          <t>Player-to-Player</t>
        </is>
      </c>
      <c r="B20">
        <f>IF(Dashboard!B4="Monthly",COUNTIFS(MedicalData[History/Mechanism of injury],A20,MedicalData[Month],Dashboard!E4),IF(Dashboard!B4="Quarterly",COUNTIFS(MedicalData[History/Mechanism of injury],A20,MedicalData[Quarter],Dashboard!K4),COUNTIF(MedicalData[History/Mechanism of injury],A20)))</f>
        <v/>
      </c>
      <c r="D20" t="inlineStr">
        <is>
          <t>Morning</t>
        </is>
      </c>
      <c r="E20">
        <f>IF(Dashboard!B4="Monthly",COUNTIFS(MedicalData[Time Period],D20,MedicalData[Month],Dashboard!E4),IF(Dashboard!B4="Quarterly",COUNTIFS(MedicalData[Time Period],D20,MedicalData[Quarter],Dashboard!K4),COUNTIF(MedicalData[Time Period],D20)))</f>
        <v/>
      </c>
    </row>
    <row r="21">
      <c r="A21" t="inlineStr">
        <is>
          <t>Slips, Trips and falls</t>
        </is>
      </c>
      <c r="B21">
        <f>IF(Dashboard!B4="Monthly",COUNTIFS(MedicalData[History/Mechanism of injury],A21,MedicalData[Month],Dashboard!E4),IF(Dashboard!B4="Quarterly",COUNTIFS(MedicalData[History/Mechanism of injury],A21,MedicalData[Quarter],Dashboard!K4),COUNTIF(MedicalData[History/Mechanism of injury],A21)))</f>
        <v/>
      </c>
      <c r="D21" t="inlineStr">
        <is>
          <t>Afternoon</t>
        </is>
      </c>
      <c r="E21">
        <f>IF(Dashboard!B4="Monthly",COUNTIFS(MedicalData[Time Period],D21,MedicalData[Month],Dashboard!E4),IF(Dashboard!B4="Quarterly",COUNTIFS(MedicalData[Time Period],D21,MedicalData[Quarter],Dashboard!K4),COUNTIF(MedicalData[Time Period],D21)))</f>
        <v/>
      </c>
    </row>
    <row r="22">
      <c r="A22" t="inlineStr">
        <is>
          <t>Muscle Strains</t>
        </is>
      </c>
      <c r="B22">
        <f>IF(Dashboard!B4="Monthly",COUNTIFS(MedicalData[History/Mechanism of injury],A22,MedicalData[Month],Dashboard!E4),IF(Dashboard!B4="Quarterly",COUNTIFS(MedicalData[History/Mechanism of injury],A22,MedicalData[Quarter],Dashboard!K4),COUNTIF(MedicalData[History/Mechanism of injury],A22)))</f>
        <v/>
      </c>
      <c r="D22" t="inlineStr">
        <is>
          <t>Evening</t>
        </is>
      </c>
      <c r="E22">
        <f>IF(Dashboard!B4="Monthly",COUNTIFS(MedicalData[Time Period],D22,MedicalData[Month],Dashboard!E4),IF(Dashboard!B4="Quarterly",COUNTIFS(MedicalData[Time Period],D22,MedicalData[Quarter],Dashboard!K4),COUNTIF(MedicalData[Time Period],D22)))</f>
        <v/>
      </c>
    </row>
    <row r="23">
      <c r="A23" t="inlineStr">
        <is>
          <t>Struck by Equipment</t>
        </is>
      </c>
      <c r="B23">
        <f>IF(Dashboard!B4="Monthly",COUNTIFS(MedicalData[History/Mechanism of injury],A23,MedicalData[Month],Dashboard!E4),IF(Dashboard!B4="Quarterly",COUNTIFS(MedicalData[History/Mechanism of injury],A23,MedicalData[Quarter],Dashboard!K4),COUNTIF(MedicalData[History/Mechanism of injury],A23)))</f>
        <v/>
      </c>
      <c r="D23" t="inlineStr">
        <is>
          <t>Night</t>
        </is>
      </c>
      <c r="E23">
        <f>IF(Dashboard!B4="Monthly",COUNTIFS(MedicalData[Time Period],D23,MedicalData[Month],Dashboard!E4),IF(Dashboard!B4="Quarterly",COUNTIFS(MedicalData[Time Period],D23,MedicalData[Quarter],Dashboard!K4),COUNTIF(MedicalData[Time Period],D23)))</f>
        <v/>
      </c>
    </row>
    <row r="24">
      <c r="A24" t="inlineStr">
        <is>
          <t>Player-to-Object</t>
        </is>
      </c>
      <c r="B24">
        <f>IF(Dashboard!B4="Monthly",COUNTIFS(MedicalData[History/Mechanism of injury],A24,MedicalData[Month],Dashboard!E4),IF(Dashboard!B4="Quarterly",COUNTIFS(MedicalData[History/Mechanism of injury],A24,MedicalData[Quarter],Dashboard!K4),COUNTIF(MedicalData[History/Mechanism of injury],A24)))</f>
        <v/>
      </c>
    </row>
    <row r="25">
      <c r="A25" t="inlineStr">
        <is>
          <t>Medical</t>
        </is>
      </c>
      <c r="B25">
        <f>IF(Dashboard!B4="Monthly",COUNTIFS(MedicalData[History/Mechanism of injury],A25,MedicalData[Month],Dashboard!E4),IF(Dashboard!B4="Quarterly",COUNTIFS(MedicalData[History/Mechanism of injury],A25,MedicalData[Quarter],Dashboard!K4),COUNTIF(MedicalData[History/Mechanism of injury],A25)))</f>
        <v/>
      </c>
    </row>
    <row r="26">
      <c r="A26" t="inlineStr">
        <is>
          <t>Heat-Related</t>
        </is>
      </c>
      <c r="B26">
        <f>IF(Dashboard!B4="Monthly",COUNTIFS(MedicalData[History/Mechanism of injury],A26,MedicalData[Month],Dashboard!E4),IF(Dashboard!B4="Quarterly",COUNTIFS(MedicalData[History/Mechanism of injury],A26,MedicalData[Quarter],Dashboard!K4),COUNTIF(MedicalData[History/Mechanism of injury],A26)))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2025-10-06T15:16:10Z</dcterms:created>
  <dcterms:modified xsi:type="dcterms:W3CDTF">2025-12-04T11:08:09Z</dcterms:modified>
  <cp:lastModifiedBy>stephen tapala</cp:lastModifiedBy>
</cp:coreProperties>
</file>