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ta Entry" sheetId="1" state="visible" r:id="rId1"/>
    <sheet name="Dashboard" sheetId="2" state="visible" r:id="rId2"/>
    <sheet name="Monthly Stats" sheetId="3" state="visible" r:id="rId3"/>
    <sheet name="Venue Analysis" sheetId="4" state="visible" r:id="rId4"/>
    <sheet name="Age Analysis" sheetId="5" state="visible" r:id="rId5"/>
    <sheet name="Injury Analysis" sheetId="6" state="visible" r:id="rId6"/>
    <sheet name="Mechanism Analysis" sheetId="7" state="visible" r:id="rId7"/>
    <sheet name="Program Analysis" sheetId="8" state="visible" r:id="rId8"/>
    <sheet name="Time Analysis" sheetId="9" state="visible" r:id="rId9"/>
    <sheet name="Lists" sheetId="10" state="visible" r:id="rId10"/>
    <sheet name="Severity Analysis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6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Incidents by Venue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'Venue Analysis'!$B$3</f>
              <strCache>
                <ptCount val="1"/>
                <pt idx="0">
                  <v>Count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  <a:sp3d contourW="9525">
              <contourClr rgb="000000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'Venue Analysis'!$A$4:$A$19</f>
              <strCache>
                <ptCount val="16"/>
                <pt idx="0">
                  <v>Skate Park</v>
                </pt>
                <pt idx="1">
                  <v xml:space="preserve">5 A side </v>
                </pt>
                <pt idx="2">
                  <v>Basketball</v>
                </pt>
                <pt idx="3">
                  <v>Outdoor gym</v>
                </pt>
                <pt idx="4">
                  <v xml:space="preserve">JDI Studio </v>
                </pt>
                <pt idx="5">
                  <v>PHINDA Studio</v>
                </pt>
                <pt idx="6">
                  <v>PHAMBILI Studio</v>
                </pt>
                <pt idx="7">
                  <v xml:space="preserve">11- A side </v>
                </pt>
                <pt idx="8">
                  <v>Athletics track</v>
                </pt>
                <pt idx="9">
                  <v>Registration area</v>
                </pt>
                <pt idx="10">
                  <v xml:space="preserve">Car parking </v>
                </pt>
                <pt idx="11">
                  <v>Change Rooms</v>
                </pt>
                <pt idx="12">
                  <v>Equipment Rooms</v>
                </pt>
                <pt idx="13">
                  <v>1KM RUN/WALK PATH</v>
                </pt>
                <pt idx="14">
                  <v>Bleachers</v>
                </pt>
                <pt idx="15">
                  <v>P GATE</v>
                </pt>
              </strCache>
            </strRef>
          </cat>
          <val>
            <numRef>
              <f>'Venue Analysis'!$B$4:$B$19</f>
              <numCache>
                <formatCode>General</formatCode>
                <ptCount val="16"/>
                <pt idx="0">
                  <v>2</v>
                </pt>
                <pt idx="1">
                  <v>5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15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1</v>
                </pt>
                <pt idx="12">
                  <v>0</v>
                </pt>
                <pt idx="13">
                  <v>1</v>
                </pt>
                <pt idx="14">
                  <v>0</v>
                </pt>
                <pt idx="15">
                  <v>0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Venue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Incidents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Age Distribution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600" b="1" i="0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3DChart>
        <varyColors val="1"/>
        <ser>
          <idx val="0"/>
          <order val="0"/>
          <tx>
            <strRef>
              <f>'Age Analysis'!$B$3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0"/>
          </dLbls>
          <cat>
            <strRef>
              <f>'Age Analysis'!$A$4:$A$8</f>
              <strCache>
                <ptCount val="5"/>
                <pt idx="0">
                  <v>0-12 years</v>
                </pt>
                <pt idx="1">
                  <v>13-17 years</v>
                </pt>
                <pt idx="2">
                  <v>18-25 years</v>
                </pt>
                <pt idx="3">
                  <v>26-35 years</v>
                </pt>
                <pt idx="4">
                  <v>36+ years</v>
                </pt>
              </strCache>
            </strRef>
          </cat>
          <val>
            <numRef>
              <f>'Age Analysis'!$B$4:$B$8</f>
              <numCache>
                <formatCode>General</formatCode>
                <ptCount val="5"/>
                <pt idx="0">
                  <v>4</v>
                </pt>
                <pt idx="1">
                  <v>11</v>
                </pt>
                <pt idx="2">
                  <v>11</v>
                </pt>
                <pt idx="3">
                  <v>0</v>
                </pt>
                <pt idx="4">
                  <v>1</v>
                </pt>
              </numCache>
            </numRef>
          </val>
        </ser>
        <dLbls>
          <dLblPos val="outEnd"/>
          <showLegendKey val="0"/>
          <showVal val="0"/>
          <showCatName val="0"/>
          <showSerName val="0"/>
          <showPercent val="1"/>
          <showBubbleSize val="0"/>
          <showLeaderLines val="0"/>
        </dLbls>
      </pie3DChart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Most Common Injuries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'Injury Analysis'!$A$4</f>
              <strCache>
                <ptCount val="1"/>
                <pt idx="0">
                  <v xml:space="preserve">Head Injury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"/>
          <order val="1"/>
          <tx>
            <strRef>
              <f>'Injury Analysis'!$A$5</f>
              <strCache>
                <ptCount val="1"/>
                <pt idx="0">
                  <v xml:space="preserve">Neck Injury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2"/>
          <order val="2"/>
          <tx>
            <strRef>
              <f>'Injury Analysis'!$A$6</f>
              <strCache>
                <ptCount val="1"/>
                <pt idx="0">
                  <v xml:space="preserve">Facial Injury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Analysis'!$B$6</f>
              <numCache>
                <formatCode>General</formatCode>
                <ptCount val="1"/>
                <pt idx="0">
                  <v>3</v>
                </pt>
              </numCache>
            </numRef>
          </val>
        </ser>
        <ser>
          <idx val="3"/>
          <order val="3"/>
          <tx>
            <strRef>
              <f>'Injury Analysis'!$A$7</f>
              <strCache>
                <ptCount val="1"/>
                <pt idx="0">
                  <v xml:space="preserve">spinal injury 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4"/>
          <order val="4"/>
          <tx>
            <strRef>
              <f>'Injury Analysis'!$A$8</f>
              <strCache>
                <ptCount val="1"/>
                <pt idx="0">
                  <v xml:space="preserve">Shoulder </v>
                </pt>
              </strCache>
            </strRef>
          </tx>
          <spPr>
            <a:solidFill>
              <a:schemeClr val="accent5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Analysis'!$B$8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5"/>
          <order val="5"/>
          <tx>
            <strRef>
              <f>'Injury Analysis'!$A$9</f>
              <strCache>
                <ptCount val="1"/>
                <pt idx="0">
                  <v xml:space="preserve">Elbow 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Analysis'!$B$9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6"/>
          <order val="6"/>
          <tx>
            <strRef>
              <f>'Injury Analysis'!$A$10</f>
              <strCache>
                <ptCount val="1"/>
                <pt idx="0">
                  <v xml:space="preserve">Wrist </v>
                </pt>
              </strCache>
            </strRef>
          </tx>
          <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7"/>
          <order val="7"/>
          <tx>
            <strRef>
              <f>'Injury Analysis'!$A$11</f>
              <strCache>
                <ptCount val="1"/>
                <pt idx="0">
                  <v xml:space="preserve">Hand </v>
                </pt>
              </strCache>
            </strRef>
          </tx>
          <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8"/>
          <order val="8"/>
          <tx>
            <strRef>
              <f>'Injury Analysis'!$A$12</f>
              <strCache>
                <ptCount val="1"/>
                <pt idx="0">
                  <v xml:space="preserve">Arm </v>
                </pt>
              </strCache>
            </strRef>
          </tx>
          <spPr>
            <a:solidFill>
              <a:schemeClr val="accent3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Analysis'!$B$12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9"/>
          <order val="9"/>
          <tx>
            <strRef>
              <f>'Injury Analysis'!$A$13</f>
              <strCache>
                <ptCount val="1"/>
                <pt idx="0">
                  <v xml:space="preserve">Upper limb Muscle </v>
                </pt>
              </strCache>
            </strRef>
          </tx>
          <spPr>
            <a:solidFill>
              <a:schemeClr val="accent4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0"/>
          <order val="10"/>
          <tx>
            <strRef>
              <f>'Injury Analysis'!$A$14</f>
              <strCache>
                <ptCount val="1"/>
                <pt idx="0">
                  <v xml:space="preserve">Chest </v>
                </pt>
              </strCache>
            </strRef>
          </tx>
          <spPr>
            <a:solidFill>
              <a:schemeClr val="accent5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1"/>
          <order val="11"/>
          <tx>
            <strRef>
              <f>'Injury Analysis'!$A$15</f>
              <strCache>
                <ptCount val="1"/>
                <pt idx="0">
                  <v xml:space="preserve">Abdominal </v>
                </pt>
              </strCache>
            </strRef>
          </tx>
          <spPr>
            <a:solidFill>
              <a:schemeClr val="accent6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2"/>
          <order val="12"/>
          <tx>
            <strRef>
              <f>'Injury Analysis'!$A$16</f>
              <strCache>
                <ptCount val="1"/>
                <pt idx="0">
                  <v xml:space="preserve">Back </v>
                </pt>
              </strCache>
            </strRef>
          </tx>
          <spPr>
            <a:solidFill>
              <a:schemeClr val="accent1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Analysis'!$B$16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3"/>
          <order val="13"/>
          <tx>
            <strRef>
              <f>'Injury Analysis'!$A$17</f>
              <strCache>
                <ptCount val="1"/>
                <pt idx="0">
                  <v xml:space="preserve">Hip </v>
                </pt>
              </strCache>
            </strRef>
          </tx>
          <spPr>
            <a:solidFill>
              <a:schemeClr val="accent2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4"/>
          <order val="14"/>
          <tx>
            <strRef>
              <f>'Injury Analysis'!$A$18</f>
              <strCache>
                <ptCount val="1"/>
                <pt idx="0">
                  <v xml:space="preserve">Knee </v>
                </pt>
              </strCache>
            </strRef>
          </tx>
          <spPr>
            <a:solidFill>
              <a:schemeClr val="accent3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Analysis'!$B$18</f>
              <numCache>
                <formatCode>General</formatCode>
                <ptCount val="1"/>
                <pt idx="0">
                  <v>5</v>
                </pt>
              </numCache>
            </numRef>
          </val>
        </ser>
        <ser>
          <idx val="15"/>
          <order val="15"/>
          <tx>
            <strRef>
              <f>'Injury Analysis'!$A$19</f>
              <strCache>
                <ptCount val="1"/>
                <pt idx="0">
                  <v xml:space="preserve">Ankle </v>
                </pt>
              </strCache>
            </strRef>
          </tx>
          <spPr>
            <a:solidFill>
              <a:schemeClr val="accent4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Analysis'!$B$19</f>
              <numCache>
                <formatCode>General</formatCode>
                <ptCount val="1"/>
                <pt idx="0">
                  <v>4</v>
                </pt>
              </numCache>
            </numRef>
          </val>
        </ser>
        <ser>
          <idx val="16"/>
          <order val="16"/>
          <tx>
            <strRef>
              <f>'Injury Analysis'!$A$20</f>
              <strCache>
                <ptCount val="1"/>
                <pt idx="0">
                  <v xml:space="preserve">Foot </v>
                </pt>
              </strCache>
            </strRef>
          </tx>
          <spPr>
            <a:solidFill>
              <a:schemeClr val="accent5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7"/>
          <order val="17"/>
          <tx>
            <strRef>
              <f>'Injury Analysis'!$A$21</f>
              <strCache>
                <ptCount val="1"/>
                <pt idx="0">
                  <v xml:space="preserve">Lower limb </v>
                </pt>
              </strCache>
            </strRef>
          </tx>
          <spPr>
            <a:solidFill>
              <a:schemeClr val="accent6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8"/>
          <order val="18"/>
          <tx>
            <strRef>
              <f>'Injury Analysis'!$A$22</f>
              <strCache>
                <ptCount val="1"/>
                <pt idx="0">
                  <v xml:space="preserve">General </v>
                </pt>
              </strCache>
            </strRef>
          </tx>
          <spPr>
            <a:solidFill>
              <a:schemeClr val="accent1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Analysis'!$B$22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9"/>
          <order val="19"/>
          <tx>
            <strRef>
              <f>'Injury Analysis'!$A$23</f>
              <strCache>
                <ptCount val="1"/>
                <pt idx="0">
                  <v xml:space="preserve">Medical </v>
                </pt>
              </strCache>
            </strRef>
          </tx>
          <spPr>
            <a:solidFill>
              <a:schemeClr val="accent2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800" b="1" i="0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Injury Mechanisms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8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'Mechanism Analysis'!$B$3</f>
              <strCache>
                <ptCount val="1"/>
                <pt idx="0">
                  <v>Count</v>
                </pt>
              </strCache>
            </strRef>
          </tx>
          <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'Mechanism Analysis'!$A$4:$A$24</f>
              <strCache>
                <ptCount val="21"/>
                <pt idx="0">
                  <v>Player-to-Player</v>
                </pt>
                <pt idx="1">
                  <v>Player-to-Object</v>
                </pt>
                <pt idx="2">
                  <v>Struck by Equipment</v>
                </pt>
                <pt idx="3">
                  <v>Slips, Trips and falls</v>
                </pt>
                <pt idx="4">
                  <v>Falls from Height</v>
                </pt>
                <pt idx="5">
                  <v>Muscle Strains</v>
                </pt>
                <pt idx="6">
                  <v>Heat-Related</v>
                </pt>
                <pt idx="7">
                  <v>Stress Fractures</v>
                </pt>
                <pt idx="8">
                  <v>Tendonitis</v>
                </pt>
                <pt idx="9">
                  <v>Incorrect Use</v>
                </pt>
                <pt idx="10">
                  <v>Malfunction</v>
                </pt>
                <pt idx="11">
                  <v>Poor Lighting</v>
                </pt>
                <pt idx="12">
                  <v>Inadequate Signage</v>
                </pt>
                <pt idx="13">
                  <v>Cleaning Agents</v>
                </pt>
                <pt idx="14">
                  <v>Infections</v>
                </pt>
                <pt idx="15">
                  <v>Allergies</v>
                </pt>
                <pt idx="16">
                  <v>Harassment or Bullying</v>
                </pt>
                <pt idx="17">
                  <v>Performance Pressure</v>
                </pt>
                <pt idx="18">
                  <v>Assault</v>
                </pt>
                <pt idx="19">
                  <v>Theft</v>
                </pt>
                <pt idx="20">
                  <v>Medical</v>
                </pt>
              </strCache>
            </strRef>
          </cat>
          <val>
            <numRef>
              <f>'Mechanism Analysis'!$B$4:$B$24</f>
              <numCache>
                <formatCode>General</formatCode>
                <ptCount val="21"/>
                <pt idx="0">
                  <v>12</v>
                </pt>
                <pt idx="1">
                  <v>2</v>
                </pt>
                <pt idx="2">
                  <v>2</v>
                </pt>
                <pt idx="3">
                  <v>6</v>
                </pt>
                <pt idx="4">
                  <v>0</v>
                </pt>
                <pt idx="5">
                  <v>4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ZA"/>
              <a:t>Incidents by Time of Day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'Time Analysis'!$C$3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invertIfNegative val="0"/>
          <cat>
            <multiLvlStrRef>
              <multiLvlStrCache>
                <lvl>
                  <pt idx="0">
                    <v>6:00 - 11:59</v>
                  </pt>
                  <pt idx="1">
                    <v>12:00 - 17:59</v>
                  </pt>
                  <pt idx="2">
                    <v>18:00 - 21:59</v>
                  </pt>
                  <pt idx="3">
                    <v>22:00 - 5:59</v>
                  </pt>
                </lvl>
                <lvl>
                  <pt idx="0">
                    <v>Morning</v>
                  </pt>
                  <pt idx="1">
                    <v>Afternoon</v>
                  </pt>
                  <pt idx="2">
                    <v>Evening</v>
                  </pt>
                  <pt idx="3">
                    <v>Night</v>
                  </pt>
                </lvl>
              </multiLvlStrCache>
              <f>'Time Analysis'!$A$4:$B$7</f>
            </multiLvlStrRef>
          </cat>
          <val>
            <numRef>
              <f>'Time Analysis'!$C$4:$C$7</f>
              <numCache>
                <formatCode>General</formatCode>
                <ptCount val="4"/>
                <pt idx="0">
                  <v>4</v>
                </pt>
                <pt idx="1">
                  <v>12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Monthly Incident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'Monthly Stats'!$B$3</f>
              <strCache>
                <ptCount val="1"/>
                <pt idx="0">
                  <v>Total Cases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'Monthly Stats'!$A$4:$A$27</f>
              <strCache>
                <ptCount val="24"/>
                <pt idx="0">
                  <v>Jan-24</v>
                </pt>
                <pt idx="1">
                  <v>Feb-24</v>
                </pt>
                <pt idx="2">
                  <v>Mar-24</v>
                </pt>
                <pt idx="3">
                  <v>Apr-24</v>
                </pt>
                <pt idx="4">
                  <v>May-24</v>
                </pt>
                <pt idx="5">
                  <v>Jun-24</v>
                </pt>
                <pt idx="6">
                  <v>Jul-24</v>
                </pt>
                <pt idx="7">
                  <v>Aug-24</v>
                </pt>
                <pt idx="8">
                  <v>Sep-24</v>
                </pt>
                <pt idx="9">
                  <v>Oct-24</v>
                </pt>
                <pt idx="10">
                  <v>Nov-24</v>
                </pt>
                <pt idx="11">
                  <v>Dec-24</v>
                </pt>
                <pt idx="12">
                  <v>Jan-25</v>
                </pt>
                <pt idx="13">
                  <v>Feb-25</v>
                </pt>
                <pt idx="14">
                  <v>Mar-25</v>
                </pt>
                <pt idx="15">
                  <v>Apr-25</v>
                </pt>
                <pt idx="16">
                  <v>May-25</v>
                </pt>
                <pt idx="17">
                  <v>Jun-25</v>
                </pt>
                <pt idx="18">
                  <v>Jul-25</v>
                </pt>
                <pt idx="19">
                  <v>Aug-25</v>
                </pt>
                <pt idx="20">
                  <v>Sep-25</v>
                </pt>
                <pt idx="21">
                  <v>Oct-25</v>
                </pt>
                <pt idx="22">
                  <v>Nov-25</v>
                </pt>
                <pt idx="23">
                  <v>Dec-25</v>
                </pt>
              </strCache>
            </strRef>
          </cat>
          <val>
            <numRef>
              <f>'Monthly Stats'!$B$4:$B$27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16</v>
                </pt>
                <pt idx="21">
                  <v>11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28575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43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84"/>
  <sheetViews>
    <sheetView showGridLines="0" topLeftCell="A24" workbookViewId="0">
      <selection activeCell="B2" sqref="B2"/>
    </sheetView>
  </sheetViews>
  <sheetFormatPr baseColWidth="8" defaultRowHeight="15"/>
  <cols>
    <col width="20" customWidth="1" style="21" min="1" max="19"/>
    <col width="14" customWidth="1" style="21" min="2" max="2"/>
    <col width="14" customWidth="1" style="21" min="3" max="3"/>
    <col width="14" customWidth="1" style="21" min="4" max="4"/>
    <col width="14" customWidth="1" style="21" min="5" max="5"/>
    <col width="12" customWidth="1" style="21" min="6" max="6"/>
  </cols>
  <sheetData>
    <row r="1" ht="36.75" customHeight="1" s="21">
      <c r="A1" s="36" t="inlineStr">
        <is>
          <t>SHAPA NIKE SOWETO MEDICAL DASHBOARD</t>
        </is>
      </c>
    </row>
    <row r="2">
      <c r="A2" s="1" t="inlineStr">
        <is>
          <t>Select Period:</t>
        </is>
      </c>
      <c r="B2" s="14" t="inlineStr">
        <is>
          <t>Oct-25</t>
        </is>
      </c>
      <c r="D2" s="1" t="inlineStr">
        <is>
          <t>Date Range:</t>
        </is>
      </c>
      <c r="E2">
        <f>IF(B2="All Time","All Data","Month: "&amp;B2)</f>
        <v/>
      </c>
    </row>
    <row r="4" ht="15.75" customHeight="1" s="21">
      <c r="A4" s="24" t="inlineStr">
        <is>
          <t>TOTAL INCIDENTS</t>
        </is>
      </c>
      <c r="B4" s="25" t="n"/>
      <c r="C4" s="25" t="n"/>
      <c r="D4" s="26" t="n"/>
      <c r="F4" s="27" t="inlineStr">
        <is>
          <t>AVERAGE AGE</t>
        </is>
      </c>
      <c r="G4" s="25" t="n"/>
      <c r="H4" s="25" t="n"/>
      <c r="I4" s="26" t="n"/>
      <c r="K4" s="28" t="inlineStr">
        <is>
          <t>AMBULANCE CALLS</t>
        </is>
      </c>
      <c r="L4" s="25" t="n"/>
      <c r="M4" s="25" t="n"/>
      <c r="N4" s="26" t="n"/>
      <c r="P4" s="29" t="inlineStr">
        <is>
          <t>TOP RISK SITE</t>
        </is>
      </c>
      <c r="Q4" s="25" t="n"/>
      <c r="R4" s="25" t="n"/>
      <c r="S4" s="26" t="n"/>
    </row>
    <row r="5">
      <c r="A5" s="2" t="n"/>
      <c r="B5" s="2" t="n"/>
      <c r="C5" s="2" t="n"/>
      <c r="D5" s="2" t="n"/>
      <c r="F5" s="3" t="n"/>
      <c r="G5" s="3" t="n"/>
      <c r="H5" s="3" t="n"/>
      <c r="I5" s="3" t="n"/>
      <c r="K5" s="4" t="n"/>
      <c r="L5" s="4" t="n"/>
      <c r="M5" s="4" t="n"/>
      <c r="N5" s="4" t="n"/>
      <c r="P5" s="5" t="n"/>
      <c r="Q5" s="5" t="n"/>
      <c r="R5" s="5" t="n"/>
      <c r="S5" s="5" t="n"/>
    </row>
    <row r="6" ht="46.5" customHeight="1" s="21">
      <c r="A6" s="2" t="n"/>
      <c r="B6" s="6">
        <f>IF($B$2="All Time",COUNTA(MedicalData[Date]),COUNTIF(MedicalData[Month],$B$2))</f>
        <v/>
      </c>
      <c r="C6" s="2" t="n"/>
      <c r="D6" s="2" t="n"/>
      <c r="F6" s="3" t="n"/>
      <c r="G6" s="7">
        <f>ROUND(IF($B$2="All Time",AVERAGE(MedicalData[Age]),AVERAGEIF(MedicalData[Month],$B$2,MedicalData[Age])),0)</f>
        <v/>
      </c>
      <c r="H6" s="3" t="n"/>
      <c r="I6" s="3" t="n"/>
      <c r="K6" s="4" t="n"/>
      <c r="L6" s="8">
        <f>IF($B$2="All Time",COUNTIF(MedicalData[Hospital Transportation],"Yes"),COUNTIFS(MedicalData[Hospital Transportation],"Yes",MedicalData[Month],$B$2))</f>
        <v/>
      </c>
      <c r="M6" s="4" t="n"/>
      <c r="N6" s="4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18.75" customHeight="1" s="21">
      <c r="A7" s="2" t="n"/>
      <c r="B7" s="2" t="n"/>
      <c r="C7" s="2" t="n"/>
      <c r="D7" s="2" t="n"/>
      <c r="F7" s="3" t="n"/>
      <c r="G7" s="3" t="n"/>
      <c r="H7" s="3" t="n"/>
      <c r="I7" s="3" t="n"/>
      <c r="K7" s="4" t="n"/>
      <c r="L7" s="4" t="n"/>
      <c r="M7" s="4" t="n"/>
      <c r="N7" s="4" t="n"/>
      <c r="P7" s="5" t="n"/>
      <c r="Q7" s="5" t="n"/>
      <c r="R7" s="10">
        <f>IF(Q6="","",COUNTIF(MedicalData[Site],Q6))</f>
        <v/>
      </c>
      <c r="S7" s="5" t="n"/>
    </row>
    <row r="8">
      <c r="A8" s="2" t="n"/>
      <c r="B8" s="2" t="n"/>
      <c r="C8" s="2" t="n"/>
      <c r="D8" s="2" t="n"/>
      <c r="F8" s="3" t="n"/>
      <c r="G8" s="3" t="n"/>
      <c r="H8" s="3" t="n"/>
      <c r="I8" s="3" t="n"/>
      <c r="K8" s="4" t="n"/>
      <c r="L8" s="4" t="n"/>
      <c r="M8" s="4" t="n"/>
      <c r="N8" s="4" t="n"/>
      <c r="P8" s="5" t="n"/>
      <c r="Q8" s="5" t="n"/>
      <c r="R8" s="5" t="n"/>
      <c r="S8" s="5" t="n"/>
    </row>
    <row r="9">
      <c r="A9" s="31" t="inlineStr">
        <is>
          <t>TOP INJURY</t>
        </is>
      </c>
      <c r="F9" s="31" t="inlineStr">
        <is>
          <t>TOP MECHANISM</t>
        </is>
      </c>
      <c r="K9" s="31" t="inlineStr">
        <is>
          <t>PEAK TIME</t>
        </is>
      </c>
      <c r="P9" s="31" t="inlineStr">
        <is>
          <t>P3 RATE</t>
        </is>
      </c>
    </row>
    <row r="11">
      <c r="B11" s="32">
        <f>IFERROR(INDEX(MedicalData[Specific injuries treated],MODE(MATCH(MedicalData[Specific injuries treated],MedicalData[Specific injuries treated],0))),"")</f>
        <v/>
      </c>
      <c r="G11" s="32">
        <f>IFERROR(INDEX(MedicalData[History/Mechanism of injury],MODE(MATCH(MedicalData[History/Mechanism of injury],MedicalData[History/Mechanism of injury],0))),"")</f>
        <v/>
      </c>
      <c r="L11" s="32">
        <f>IFERROR(INDEX(MedicalData[Time Period],MODE(MATCH(MedicalData[Time Period],MedicalData[Time Period],0))),"")</f>
        <v/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4">
      <c r="A14" s="33" t="inlineStr">
        <is>
          <t>PRIORITY BREAKDOWN</t>
        </is>
      </c>
    </row>
    <row r="16">
      <c r="A16" t="inlineStr">
        <is>
          <t>P1 (Critical)</t>
        </is>
      </c>
      <c r="B16">
        <f>IF($B$2="All Time",COUNTIF(MedicalData[Priority Of Pt],"P1"),COUNTIFS(MedicalData[Priority Of Pt],"P1",MedicalData[Month],$B$2))</f>
        <v/>
      </c>
      <c r="D16" t="inlineStr">
        <is>
          <t>P2 (Urgent)</t>
        </is>
      </c>
      <c r="E16">
        <f>IF($B$2="All Time",COUNTIF(MedicalData[Priority Of Pt],"P2"),COUNTIFS(MedicalData[Priority Of Pt],"P2",MedicalData[Month],$B$2))</f>
        <v/>
      </c>
      <c r="G16" t="inlineStr">
        <is>
          <t>P3 (Standard)</t>
        </is>
      </c>
      <c r="H16">
        <f>IF($B$2="All Time",COUNTIF(MedicalData[Priority Of Pt],"P3"),COUNTIFS(MedicalData[Priority Of Pt],"P3",MedicalData[Month],$B$2))</f>
        <v/>
      </c>
      <c r="J16" t="inlineStr">
        <is>
          <t>P4 (Minor)</t>
        </is>
      </c>
      <c r="K16">
        <f>IF($B$2="All Time",COUNTIF(MedicalData[Priority Of Pt],"P4"),COUNTIFS(MedicalData[Priority Of Pt],"P4",MedicalData[Month],$B$2))</f>
        <v/>
      </c>
    </row>
    <row r="19">
      <c r="A19" s="33" t="inlineStr">
        <is>
          <t>QUICK INSIGHTS</t>
        </is>
      </c>
    </row>
    <row r="21">
      <c r="A21" t="inlineStr">
        <is>
          <t>Busiest Day:</t>
        </is>
      </c>
      <c r="B21">
        <f>IFERROR(INDEX(MedicalData[Day of Week],MODE(MATCH(MedicalData[Day of Week],MedicalData[Day of Week],0))),"")</f>
        <v/>
      </c>
      <c r="E21" t="inlineStr">
        <is>
          <t>Top Program:</t>
        </is>
      </c>
      <c r="F21">
        <f>IFERROR(INDEX(MedicalData[Type of program],MODE(MATCH(MedicalData[Type of program],MedicalData[Type of program],0))),"")</f>
        <v/>
      </c>
      <c r="J21" t="inlineStr">
        <is>
          <t>Main Cause:</t>
        </is>
      </c>
      <c r="K21">
        <f>IFERROR(INDEX(MedicalData[Cause of injury],MODE(MATCH(MedicalData[Cause of injury],MedicalData[Cause of injury],0))),"")</f>
        <v/>
      </c>
    </row>
    <row r="25">
      <c r="A25" s="40" t="inlineStr">
        <is>
          <t>WEEKLY REPORT</t>
        </is>
      </c>
    </row>
    <row r="26">
      <c r="A26" s="41" t="inlineStr">
        <is>
          <t>Week-by-week breakdown for selected month</t>
        </is>
      </c>
    </row>
    <row r="28">
      <c r="A28" s="42" t="inlineStr">
        <is>
          <t>Week</t>
        </is>
      </c>
      <c r="B28" s="42" t="inlineStr">
        <is>
          <t>Incidents</t>
        </is>
      </c>
      <c r="C28" s="42" t="inlineStr">
        <is>
          <t>Ambulance</t>
        </is>
      </c>
      <c r="D28" s="42" t="inlineStr">
        <is>
          <t>Avg Age</t>
        </is>
      </c>
      <c r="E28" s="42" t="inlineStr">
        <is>
          <t>Top Injury</t>
        </is>
      </c>
      <c r="F28" s="42" t="inlineStr">
        <is>
          <t>Top Venue</t>
        </is>
      </c>
    </row>
    <row r="29">
      <c r="A29" t="inlineStr">
        <is>
          <t>Week 1</t>
        </is>
      </c>
      <c r="B29">
        <f>SUMPRODUCT((MedicalData[Month]=$B$2)*((WEEKNUM(MedicalData[Date])-WEEKNUM(DATE(YEAR(MedicalData[Date]),MONTH(MedicalData[Date]),1))+1)=1)*1)</f>
        <v/>
      </c>
      <c r="C29">
        <f>SUMPRODUCT((MedicalData[Month]=$B$2)*((WEEKNUM(MedicalData[Date])-WEEKNUM(DATE(YEAR(MedicalData[Date]),MONTH(MedicalData[Date]),1))+1)=1)*(MedicalData[Hospital Transportation]="Yes")*1)</f>
        <v/>
      </c>
      <c r="D29">
        <f>IFERROR(ROUND(AGGREGATE(1,6,MedicalData[Age]/((MedicalData[Month]=$B$2)*((WEEKNUM(MedicalData[Date])-WEEKNUM(DATE(YEAR(MedicalData[Date]),MONTH(MedicalData[Date]),1))+1)=1))),0),"-")</f>
        <v/>
      </c>
      <c r="E29">
        <f>IF(B29=0,"-",IFERROR(INDEX(MedicalData[Specific injuries treated],MATCH(1,(MedicalData[Month]=$B$2)*((WEEKNUM(MedicalData[Date])-WEEKNUM(DATE(YEAR(MedicalData[Date]),MONTH(MedicalData[Date]),1))+1)=1),0)),"-"))</f>
        <v/>
      </c>
      <c r="F29">
        <f>IF(B29=0,"-",IFERROR(INDEX(MedicalData[Site],MATCH(1,(MedicalData[Month]=$B$2)*((WEEKNUM(MedicalData[Date])-WEEKNUM(DATE(YEAR(MedicalData[Date]),MONTH(MedicalData[Date]),1))+1)=1),0)),"-"))</f>
        <v/>
      </c>
    </row>
    <row r="30">
      <c r="A30" t="inlineStr">
        <is>
          <t>Week 2</t>
        </is>
      </c>
      <c r="B30">
        <f>SUMPRODUCT((MedicalData[Month]=$B$2)*((WEEKNUM(MedicalData[Date])-WEEKNUM(DATE(YEAR(MedicalData[Date]),MONTH(MedicalData[Date]),1))+1)=2)*1)</f>
        <v/>
      </c>
      <c r="C30">
        <f>SUMPRODUCT((MedicalData[Month]=$B$2)*((WEEKNUM(MedicalData[Date])-WEEKNUM(DATE(YEAR(MedicalData[Date]),MONTH(MedicalData[Date]),1))+1)=2)*(MedicalData[Hospital Transportation]="Yes")*1)</f>
        <v/>
      </c>
      <c r="D30">
        <f>IFERROR(ROUND(AGGREGATE(1,6,MedicalData[Age]/((MedicalData[Month]=$B$2)*((WEEKNUM(MedicalData[Date])-WEEKNUM(DATE(YEAR(MedicalData[Date]),MONTH(MedicalData[Date]),1))+1)=2))),0),"-")</f>
        <v/>
      </c>
      <c r="E30">
        <f>IF(B30=0,"-",IFERROR(INDEX(MedicalData[Specific injuries treated],MATCH(1,(MedicalData[Month]=$B$2)*((WEEKNUM(MedicalData[Date])-WEEKNUM(DATE(YEAR(MedicalData[Date]),MONTH(MedicalData[Date]),1))+1)=2),0)),"-"))</f>
        <v/>
      </c>
      <c r="F30">
        <f>IF(B30=0,"-",IFERROR(INDEX(MedicalData[Site],MATCH(1,(MedicalData[Month]=$B$2)*((WEEKNUM(MedicalData[Date])-WEEKNUM(DATE(YEAR(MedicalData[Date]),MONTH(MedicalData[Date]),1))+1)=2),0)),"-"))</f>
        <v/>
      </c>
    </row>
    <row r="31">
      <c r="A31" t="inlineStr">
        <is>
          <t>Week 3</t>
        </is>
      </c>
      <c r="B31">
        <f>SUMPRODUCT((MedicalData[Month]=$B$2)*((WEEKNUM(MedicalData[Date])-WEEKNUM(DATE(YEAR(MedicalData[Date]),MONTH(MedicalData[Date]),1))+1)=3)*1)</f>
        <v/>
      </c>
      <c r="C31">
        <f>SUMPRODUCT((MedicalData[Month]=$B$2)*((WEEKNUM(MedicalData[Date])-WEEKNUM(DATE(YEAR(MedicalData[Date]),MONTH(MedicalData[Date]),1))+1)=3)*(MedicalData[Hospital Transportation]="Yes")*1)</f>
        <v/>
      </c>
      <c r="D31">
        <f>IFERROR(ROUND(AGGREGATE(1,6,MedicalData[Age]/((MedicalData[Month]=$B$2)*((WEEKNUM(MedicalData[Date])-WEEKNUM(DATE(YEAR(MedicalData[Date]),MONTH(MedicalData[Date]),1))+1)=3))),0),"-")</f>
        <v/>
      </c>
      <c r="E31">
        <f>IF(B31=0,"-",IFERROR(INDEX(MedicalData[Specific injuries treated],MATCH(1,(MedicalData[Month]=$B$2)*((WEEKNUM(MedicalData[Date])-WEEKNUM(DATE(YEAR(MedicalData[Date]),MONTH(MedicalData[Date]),1))+1)=3),0)),"-"))</f>
        <v/>
      </c>
      <c r="F31">
        <f>IF(B31=0,"-",IFERROR(INDEX(MedicalData[Site],MATCH(1,(MedicalData[Month]=$B$2)*((WEEKNUM(MedicalData[Date])-WEEKNUM(DATE(YEAR(MedicalData[Date]),MONTH(MedicalData[Date]),1))+1)=3),0)),"-"))</f>
        <v/>
      </c>
    </row>
    <row r="32">
      <c r="A32" t="inlineStr">
        <is>
          <t>Week 4</t>
        </is>
      </c>
      <c r="B32">
        <f>SUMPRODUCT((MedicalData[Month]=$B$2)*((WEEKNUM(MedicalData[Date])-WEEKNUM(DATE(YEAR(MedicalData[Date]),MONTH(MedicalData[Date]),1))+1)=4)*1)</f>
        <v/>
      </c>
      <c r="C32">
        <f>SUMPRODUCT((MedicalData[Month]=$B$2)*((WEEKNUM(MedicalData[Date])-WEEKNUM(DATE(YEAR(MedicalData[Date]),MONTH(MedicalData[Date]),1))+1)=4)*(MedicalData[Hospital Transportation]="Yes")*1)</f>
        <v/>
      </c>
      <c r="D32">
        <f>IFERROR(ROUND(AGGREGATE(1,6,MedicalData[Age]/((MedicalData[Month]=$B$2)*((WEEKNUM(MedicalData[Date])-WEEKNUM(DATE(YEAR(MedicalData[Date]),MONTH(MedicalData[Date]),1))+1)=4))),0),"-")</f>
        <v/>
      </c>
      <c r="E32">
        <f>IF(B32=0,"-",IFERROR(INDEX(MedicalData[Specific injuries treated],MATCH(1,(MedicalData[Month]=$B$2)*((WEEKNUM(MedicalData[Date])-WEEKNUM(DATE(YEAR(MedicalData[Date]),MONTH(MedicalData[Date]),1))+1)=4),0)),"-"))</f>
        <v/>
      </c>
      <c r="F32">
        <f>IF(B32=0,"-",IFERROR(INDEX(MedicalData[Site],MATCH(1,(MedicalData[Month]=$B$2)*((WEEKNUM(MedicalData[Date])-WEEKNUM(DATE(YEAR(MedicalData[Date]),MONTH(MedicalData[Date]),1))+1)=4),0)),"-"))</f>
        <v/>
      </c>
    </row>
    <row r="33">
      <c r="A33" t="inlineStr">
        <is>
          <t>Week 5</t>
        </is>
      </c>
      <c r="B33">
        <f>SUMPRODUCT((MedicalData[Month]=$B$2)*((WEEKNUM(MedicalData[Date])-WEEKNUM(DATE(YEAR(MedicalData[Date]),MONTH(MedicalData[Date]),1))+1)=5)*1)</f>
        <v/>
      </c>
      <c r="C33">
        <f>SUMPRODUCT((MedicalData[Month]=$B$2)*((WEEKNUM(MedicalData[Date])-WEEKNUM(DATE(YEAR(MedicalData[Date]),MONTH(MedicalData[Date]),1))+1)=5)*(MedicalData[Hospital Transportation]="Yes")*1)</f>
        <v/>
      </c>
      <c r="D33">
        <f>IFERROR(ROUND(AGGREGATE(1,6,MedicalData[Age]/((MedicalData[Month]=$B$2)*((WEEKNUM(MedicalData[Date])-WEEKNUM(DATE(YEAR(MedicalData[Date]),MONTH(MedicalData[Date]),1))+1)=5))),0),"-")</f>
        <v/>
      </c>
      <c r="E33">
        <f>IF(B33=0,"-",IFERROR(INDEX(MedicalData[Specific injuries treated],MATCH(1,(MedicalData[Month]=$B$2)*((WEEKNUM(MedicalData[Date])-WEEKNUM(DATE(YEAR(MedicalData[Date]),MONTH(MedicalData[Date]),1))+1)=5),0)),"-"))</f>
        <v/>
      </c>
      <c r="F33">
        <f>IF(B33=0,"-",IFERROR(INDEX(MedicalData[Site],MATCH(1,(MedicalData[Month]=$B$2)*((WEEKNUM(MedicalData[Date])-WEEKNUM(DATE(YEAR(MedicalData[Date]),MONTH(MedicalData[Date]),1))+1)=5),0)),"-"))</f>
        <v/>
      </c>
    </row>
    <row r="34">
      <c r="A34" s="30" t="inlineStr">
        <is>
          <t>TOTAL</t>
        </is>
      </c>
      <c r="B34" s="30">
        <f>SUM(B29:B33)</f>
        <v/>
      </c>
      <c r="C34" s="30">
        <f>SUM(C29:C33)</f>
        <v/>
      </c>
      <c r="D34">
        <f>IFERROR(ROUND(AVERAGEIF(MedicalData[Month],$B$2,MedicalData[Age]),0),"-")</f>
        <v/>
      </c>
    </row>
    <row r="37">
      <c r="A37" s="40" t="inlineStr">
        <is>
          <t>QUARTERLY REPORT</t>
        </is>
      </c>
    </row>
    <row r="38">
      <c r="A38" t="inlineStr">
        <is>
          <t>Quarter:</t>
        </is>
      </c>
      <c r="B38" s="33">
        <f>IF($B$2="All Time","All",IF(OR(LEFT($B$2,3)="Jan",LEFT($B$2,3)="Feb",LEFT($B$2,3)="Mar"),"Q1",IF(OR(LEFT($B$2,3)="Apr",LEFT($B$2,3)="May",LEFT($B$2,3)="Jun"),"Q2",IF(OR(LEFT($B$2,3)="Jul",LEFT($B$2,3)="Aug",LEFT($B$2,3)="Sep"),"Q3","Q4"))))</f>
        <v/>
      </c>
    </row>
    <row r="40">
      <c r="A40" s="42" t="inlineStr">
        <is>
          <t>Metric</t>
        </is>
      </c>
      <c r="B40" s="42" t="inlineStr">
        <is>
          <t>Q1 (Jan-Mar)</t>
        </is>
      </c>
      <c r="C40" s="42" t="inlineStr">
        <is>
          <t>Q2 (Apr-Jun)</t>
        </is>
      </c>
      <c r="D40" s="42" t="inlineStr">
        <is>
          <t>Q3 (Jul-Sep)</t>
        </is>
      </c>
      <c r="E40" s="42" t="inlineStr">
        <is>
          <t>Q4 (Oct-Dec)</t>
        </is>
      </c>
      <c r="F40" s="42" t="inlineStr">
        <is>
          <t>YTD Total</t>
        </is>
      </c>
    </row>
    <row r="41">
      <c r="A41" t="inlineStr">
        <is>
          <t>Total Incidents</t>
        </is>
      </c>
      <c r="B41">
        <f>COUNTIF(MedicalData[Quarter],"Q1")</f>
        <v/>
      </c>
      <c r="C41">
        <f>COUNTIF(MedicalData[Quarter],"Q2")</f>
        <v/>
      </c>
      <c r="D41">
        <f>COUNTIF(MedicalData[Quarter],"Q3")</f>
        <v/>
      </c>
      <c r="E41">
        <f>COUNTIF(MedicalData[Quarter],"Q4")</f>
        <v/>
      </c>
      <c r="F41" s="30">
        <f>SUM(B41:E41)</f>
        <v/>
      </c>
    </row>
    <row r="42">
      <c r="A42" t="inlineStr">
        <is>
          <t>Ambulance Calls</t>
        </is>
      </c>
      <c r="B42">
        <f>COUNTIFS(MedicalData[Quarter],"Q1",MedicalData[Hospital Transportation],"Yes")</f>
        <v/>
      </c>
      <c r="C42">
        <f>COUNTIFS(MedicalData[Quarter],"Q2",MedicalData[Hospital Transportation],"Yes")</f>
        <v/>
      </c>
      <c r="D42">
        <f>COUNTIFS(MedicalData[Quarter],"Q3",MedicalData[Hospital Transportation],"Yes")</f>
        <v/>
      </c>
      <c r="E42">
        <f>COUNTIFS(MedicalData[Quarter],"Q4",MedicalData[Hospital Transportation],"Yes")</f>
        <v/>
      </c>
      <c r="F42" s="30">
        <f>SUM(B42:E42)</f>
        <v/>
      </c>
    </row>
    <row r="43">
      <c r="A43" t="inlineStr">
        <is>
          <t>Average Age</t>
        </is>
      </c>
      <c r="B43">
        <f>IFERROR(ROUND(AVERAGEIF(MedicalData[Quarter],"Q1",MedicalData[Age]),0),"-")</f>
        <v/>
      </c>
      <c r="C43">
        <f>IFERROR(ROUND(AVERAGEIF(MedicalData[Quarter],"Q2",MedicalData[Age]),0),"-")</f>
        <v/>
      </c>
      <c r="D43">
        <f>IFERROR(ROUND(AVERAGEIF(MedicalData[Quarter],"Q3",MedicalData[Age]),0),"-")</f>
        <v/>
      </c>
      <c r="E43">
        <f>IFERROR(ROUND(AVERAGEIF(MedicalData[Quarter],"Q4",MedicalData[Age]),0),"-")</f>
        <v/>
      </c>
      <c r="F43">
        <f>IFERROR(ROUND(AVERAGE(MedicalData[Age]),0),"-")</f>
        <v/>
      </c>
    </row>
    <row r="44">
      <c r="A44" t="inlineStr">
        <is>
          <t>Critical Cases (P1+P2)</t>
        </is>
      </c>
      <c r="B44">
        <f>COUNTIFS(MedicalData[Quarter],"Q1",MedicalData[Priority Of Pt],"P1")+COUNTIFS(MedicalData[Quarter],"Q1",MedicalData[Priority Of Pt],"P2")</f>
        <v/>
      </c>
      <c r="C44">
        <f>COUNTIFS(MedicalData[Quarter],"Q2",MedicalData[Priority Of Pt],"P1")+COUNTIFS(MedicalData[Quarter],"Q2",MedicalData[Priority Of Pt],"P2")</f>
        <v/>
      </c>
      <c r="D44">
        <f>COUNTIFS(MedicalData[Quarter],"Q3",MedicalData[Priority Of Pt],"P1")+COUNTIFS(MedicalData[Quarter],"Q3",MedicalData[Priority Of Pt],"P2")</f>
        <v/>
      </c>
      <c r="E44">
        <f>COUNTIFS(MedicalData[Quarter],"Q4",MedicalData[Priority Of Pt],"P1")+COUNTIFS(MedicalData[Quarter],"Q4",MedicalData[Priority Of Pt],"P2")</f>
        <v/>
      </c>
      <c r="F44" s="30">
        <f>SUM(B44:E44)</f>
        <v/>
      </c>
    </row>
    <row r="46">
      <c r="A46" s="43" t="inlineStr">
        <is>
          <t>Current Quarter Highlight:</t>
        </is>
      </c>
      <c r="B46">
        <f>B38&amp;" has "&amp;IF(B38="Q1",B41,IF(B38="Q2",C41,IF(B38="Q3",D41,E41)))&amp;" incidents"</f>
        <v/>
      </c>
    </row>
    <row r="61" ht="23.25" customHeight="1" s="21">
      <c r="A61" s="20" t="inlineStr">
        <is>
          <t>🚨 AUTOMATED SAFETY ALERTS</t>
        </is>
      </c>
    </row>
    <row r="63">
      <c r="A63" t="inlineStr">
        <is>
          <t>Alert 1: High-Risk Venue</t>
        </is>
      </c>
    </row>
    <row r="64">
      <c r="B64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</row>
    <row r="66">
      <c r="A66" t="inlineStr">
        <is>
          <t>Alert 2: Ankle Injuries</t>
        </is>
      </c>
    </row>
    <row r="67">
      <c r="B67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</row>
    <row r="69">
      <c r="A69" t="inlineStr">
        <is>
          <t>Alert 3: Player Contact</t>
        </is>
      </c>
    </row>
    <row r="70">
      <c r="B70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</row>
    <row r="72">
      <c r="A72" t="inlineStr">
        <is>
          <t>Alert 4: Minor Involvement</t>
        </is>
      </c>
    </row>
    <row r="73">
      <c r="B73">
        <f>IF(COUNTIFS(MedicalData[Age],"&lt;18")&gt;=4,"ℹ INFO: "&amp;COUNTIFS(MedicalData[Age],"&lt;18")&amp;" incidents involved minors. Ensure age-appropriate safety.","✓ Minor involvement acceptable")</f>
        <v/>
      </c>
    </row>
    <row r="76" ht="21" customHeight="1" s="21">
      <c r="A76" s="22" t="inlineStr">
        <is>
          <t>📋 SAFETY RECOMMENDATIONS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</sheetData>
  <mergeCells count="7">
    <mergeCell ref="K4:N4"/>
    <mergeCell ref="A61:N61"/>
    <mergeCell ref="A1:P1"/>
    <mergeCell ref="A4:D4"/>
    <mergeCell ref="F4:I4"/>
    <mergeCell ref="A76:N76"/>
    <mergeCell ref="P4:S4"/>
  </mergeCells>
  <dataValidations count="1">
    <dataValidation sqref="B2" showDropDown="0" showInputMessage="0" showErrorMessage="0" allowBlank="1" errorTitle="Invalid Month" error="Please select a valid month" promptTitle="Month Selection" prompt="Select a month or 'All Time'" type="list">
      <formula1>=Lists!$E$1:$E$26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COUNTIF(MedicalData[Site],A4)</f>
        <v/>
      </c>
      <c r="C4">
        <f>IF(SUM($B$4:$B$8)=0,0,B4/SUM($B$4:$B$8))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COUNTIF(MedicalData[Site],A5)</f>
        <v/>
      </c>
      <c r="C5">
        <f>IF(SUM($B$4:$B$8)=0,0,B5/SUM($B$4:$B$8))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COUNTIF(MedicalData[Site],A6)</f>
        <v/>
      </c>
      <c r="C6">
        <f>IF(SUM($B$4:$B$8)=0,0,B6/SUM($B$4:$B$8))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COUNTIF(MedicalData[Site],A7)</f>
        <v/>
      </c>
      <c r="C7">
        <f>IF(SUM($B$4:$B$8)=0,0,B7/SUM($B$4:$B$8))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COUNTIF(MedicalData[Site],A8)</f>
        <v/>
      </c>
      <c r="C8">
        <f>IF(SUM($B$4:$B$8)=0,0,B8/SUM($B$4:$B$8))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COUNTIF(MedicalData[Site],A9)</f>
        <v/>
      </c>
      <c r="C9">
        <f>IF(SUM($B$4:$B$8)=0,0,B9/SUM($B$4:$B$8))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COUNTIF(MedicalData[Site],A10)</f>
        <v/>
      </c>
      <c r="C10">
        <f>IF(SUM($B$4:$B$8)=0,0,B10/SUM($B$4:$B$8))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COUNTIF(MedicalData[Site],A11)</f>
        <v/>
      </c>
      <c r="C11">
        <f>IF(SUM($B$4:$B$8)=0,0,B11/SUM($B$4:$B$8))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COUNTIF(MedicalData[Site],A12)</f>
        <v/>
      </c>
      <c r="C12">
        <f>IF(SUM($B$4:$B$8)=0,0,B12/SUM($B$4:$B$8))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COUNTIF(MedicalData[Site],A13)</f>
        <v/>
      </c>
      <c r="C13">
        <f>IF(SUM($B$4:$B$8)=0,0,B13/SUM($B$4:$B$8))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COUNTIF(MedicalData[Site],A14)</f>
        <v/>
      </c>
      <c r="C14">
        <f>IF(SUM($B$4:$B$8)=0,0,B14/SUM($B$4:$B$8))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COUNTIF(MedicalData[Site],A15)</f>
        <v/>
      </c>
      <c r="C15">
        <f>IF(SUM($B$4:$B$8)=0,0,B15/SUM($B$4:$B$8))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COUNTIF(MedicalData[Site],A16)</f>
        <v/>
      </c>
      <c r="C16">
        <f>IF(SUM($B$4:$B$8)=0,0,B16/SUM($B$4:$B$8))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COUNTIF(MedicalData[Site],A17)</f>
        <v/>
      </c>
      <c r="C17">
        <f>IF(SUM($B$4:$B$8)=0,0,B17/SUM($B$4:$B$8))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COUNTIF(MedicalData[Site],A18)</f>
        <v/>
      </c>
      <c r="C18">
        <f>IF(SUM($B$4:$B$8)=0,0,B18/SUM($B$4:$B$8))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COUNTIF(MedicalData[Site],A19)</f>
        <v/>
      </c>
      <c r="C19">
        <f>IF(SUM($B$4:$B$8)=0,0,B19/SUM($B$4:$B$8))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COUNTIFS(MedicalData[Age],"&gt;=0",MedicalData[Age],"&lt;=12")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COUNTIFS(MedicalData[Age],"&gt;=13",MedicalData[Age],"&lt;=17")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COUNTIFS(MedicalData[Age],"&gt;=18",MedicalData[Age],"&lt;=25")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COUNTIFS(MedicalData[Age],"&gt;=26",MedicalData[Age],"&lt;=35")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COUNTIFS(MedicalData[Age],"&gt;=36")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COUNTIF(MedicalData[Specific injuries treated],"*"&amp;A4&amp;"*")</f>
        <v/>
      </c>
      <c r="C4" s="35">
        <f>IF(SUM($B$4:$B$13)=0,0,B4/SUM($B$4:$B$13))</f>
        <v/>
      </c>
    </row>
    <row r="5">
      <c r="A5" t="inlineStr">
        <is>
          <t xml:space="preserve">Neck Injury </t>
        </is>
      </c>
      <c r="B5">
        <f>COUNTIF(MedicalData[Specific injuries treated],"*"&amp;A5&amp;"*")</f>
        <v/>
      </c>
      <c r="C5" s="35">
        <f>IF(SUM($B$4:$B$13)=0,0,B5/SUM($B$4:$B$13))</f>
        <v/>
      </c>
    </row>
    <row r="6">
      <c r="A6" t="inlineStr">
        <is>
          <t xml:space="preserve">Facial Injury </t>
        </is>
      </c>
      <c r="B6">
        <f>COUNTIF(MedicalData[Specific injuries treated],"*"&amp;A6&amp;"*")</f>
        <v/>
      </c>
      <c r="C6" s="35">
        <f>IF(SUM($B$4:$B$13)=0,0,B6/SUM($B$4:$B$13))</f>
        <v/>
      </c>
    </row>
    <row r="7">
      <c r="A7" t="inlineStr">
        <is>
          <t xml:space="preserve">spinal injury </t>
        </is>
      </c>
      <c r="B7">
        <f>COUNTIF(MedicalData[Specific injuries treated],"*"&amp;A7&amp;"*")</f>
        <v/>
      </c>
      <c r="C7" s="35">
        <f>IF(SUM($B$4:$B$13)=0,0,B7/SUM($B$4:$B$13))</f>
        <v/>
      </c>
    </row>
    <row r="8">
      <c r="A8" t="inlineStr">
        <is>
          <t xml:space="preserve">Shoulder </t>
        </is>
      </c>
      <c r="B8">
        <f>COUNTIF(MedicalData[Specific injuries treated],"*"&amp;A8&amp;"*")</f>
        <v/>
      </c>
      <c r="C8" s="35">
        <f>IF(SUM($B$4:$B$13)=0,0,B8/SUM($B$4:$B$13))</f>
        <v/>
      </c>
    </row>
    <row r="9">
      <c r="A9" t="inlineStr">
        <is>
          <t xml:space="preserve">Elbow </t>
        </is>
      </c>
      <c r="B9">
        <f>COUNTIF(MedicalData[Specific injuries treated],"*"&amp;A9&amp;"*")</f>
        <v/>
      </c>
      <c r="C9" s="35">
        <f>IF(SUM($B$4:$B$13)=0,0,B9/SUM($B$4:$B$13))</f>
        <v/>
      </c>
    </row>
    <row r="10">
      <c r="A10" t="inlineStr">
        <is>
          <t xml:space="preserve">Wrist </t>
        </is>
      </c>
      <c r="B10">
        <f>COUNTIF(MedicalData[Specific injuries treated],"*"&amp;A10&amp;"*")</f>
        <v/>
      </c>
      <c r="C10" s="35">
        <f>IF(SUM($B$4:$B$13)=0,0,B10/SUM($B$4:$B$13))</f>
        <v/>
      </c>
    </row>
    <row r="11">
      <c r="A11" t="inlineStr">
        <is>
          <t xml:space="preserve">Hand </t>
        </is>
      </c>
      <c r="B11">
        <f>COUNTIF(MedicalData[Specific injuries treated],"*"&amp;A11&amp;"*")</f>
        <v/>
      </c>
      <c r="C11" s="35">
        <f>IF(SUM($B$4:$B$13)=0,0,B11/SUM($B$4:$B$13))</f>
        <v/>
      </c>
    </row>
    <row r="12">
      <c r="A12" t="inlineStr">
        <is>
          <t xml:space="preserve">Arm </t>
        </is>
      </c>
      <c r="B12">
        <f>COUNTIF(MedicalData[Specific injuries treated],"*"&amp;A12&amp;"*")</f>
        <v/>
      </c>
      <c r="C12" s="35">
        <f>IF(SUM($B$4:$B$13)=0,0,B12/SUM($B$4:$B$13))</f>
        <v/>
      </c>
    </row>
    <row r="13">
      <c r="A13" t="inlineStr">
        <is>
          <t xml:space="preserve">Upper limb Muscle </t>
        </is>
      </c>
      <c r="B13">
        <f>COUNTIF(MedicalData[Specific injuries treated],"*"&amp;A13&amp;"*")</f>
        <v/>
      </c>
      <c r="C13" s="35">
        <f>IF(SUM($B$4:$B$13)=0,0,B13/SUM($B$4:$B$13))</f>
        <v/>
      </c>
    </row>
    <row r="14">
      <c r="A14" t="inlineStr">
        <is>
          <t xml:space="preserve">Chest </t>
        </is>
      </c>
      <c r="B14">
        <f>COUNTIF(MedicalData[Specific injuries treated],"*"&amp;A14&amp;"*")</f>
        <v/>
      </c>
      <c r="C14" s="35">
        <f>IF(SUM($B$4:$B$13)=0,0,B14/SUM($B$4:$B$13))</f>
        <v/>
      </c>
    </row>
    <row r="15">
      <c r="A15" t="inlineStr">
        <is>
          <t xml:space="preserve">Abdominal </t>
        </is>
      </c>
      <c r="B15">
        <f>COUNTIF(MedicalData[Specific injuries treated],"*"&amp;A15&amp;"*")</f>
        <v/>
      </c>
      <c r="C15" s="35">
        <f>IF(SUM($B$4:$B$13)=0,0,B15/SUM($B$4:$B$13))</f>
        <v/>
      </c>
    </row>
    <row r="16">
      <c r="A16" t="inlineStr">
        <is>
          <t xml:space="preserve">Back </t>
        </is>
      </c>
      <c r="B16">
        <f>COUNTIF(MedicalData[Specific injuries treated],"*"&amp;A16&amp;"*")</f>
        <v/>
      </c>
      <c r="C16" s="35">
        <f>IF(SUM($B$4:$B$13)=0,0,B16/SUM($B$4:$B$13))</f>
        <v/>
      </c>
    </row>
    <row r="17">
      <c r="A17" t="inlineStr">
        <is>
          <t xml:space="preserve">Hip </t>
        </is>
      </c>
      <c r="B17">
        <f>COUNTIF(MedicalData[Specific injuries treated],"*"&amp;A17&amp;"*")</f>
        <v/>
      </c>
      <c r="C17" s="35">
        <f>IF(SUM($B$4:$B$13)=0,0,B17/SUM($B$4:$B$13))</f>
        <v/>
      </c>
    </row>
    <row r="18">
      <c r="A18" t="inlineStr">
        <is>
          <t xml:space="preserve">Knee </t>
        </is>
      </c>
      <c r="B18">
        <f>COUNTIF(MedicalData[Specific injuries treated],"*"&amp;A18&amp;"*")</f>
        <v/>
      </c>
      <c r="C18" s="35">
        <f>IF(SUM($B$4:$B$13)=0,0,B18/SUM($B$4:$B$13))</f>
        <v/>
      </c>
    </row>
    <row r="19">
      <c r="A19" t="inlineStr">
        <is>
          <t xml:space="preserve">Ankle </t>
        </is>
      </c>
      <c r="B19">
        <f>COUNTIF(MedicalData[Specific injuries treated],"*"&amp;A19&amp;"*")</f>
        <v/>
      </c>
      <c r="C19" s="35">
        <f>IF(SUM($B$4:$B$13)=0,0,B19/SUM($B$4:$B$13))</f>
        <v/>
      </c>
    </row>
    <row r="20">
      <c r="A20" t="inlineStr">
        <is>
          <t xml:space="preserve">Foot </t>
        </is>
      </c>
      <c r="B20">
        <f>COUNTIF(MedicalData[Specific injuries treated],"*"&amp;A20&amp;"*")</f>
        <v/>
      </c>
      <c r="C20" s="35">
        <f>IF(SUM($B$4:$B$13)=0,0,B20/SUM($B$4:$B$13))</f>
        <v/>
      </c>
    </row>
    <row r="21">
      <c r="A21" t="inlineStr">
        <is>
          <t xml:space="preserve">Lower limb </t>
        </is>
      </c>
      <c r="B21">
        <f>COUNTIF(MedicalData[Specific injuries treated],"*"&amp;A21&amp;"*")</f>
        <v/>
      </c>
      <c r="C21" s="35">
        <f>IF(SUM($B$4:$B$13)=0,0,B21/SUM($B$4:$B$13))</f>
        <v/>
      </c>
    </row>
    <row r="22">
      <c r="A22" t="inlineStr">
        <is>
          <t xml:space="preserve">General </t>
        </is>
      </c>
      <c r="B22">
        <f>COUNTIF(MedicalData[Specific injuries treated],"*"&amp;A22&amp;"*")</f>
        <v/>
      </c>
      <c r="C22" s="35">
        <f>IF(SUM($B$4:$B$13)=0,0,B22/SUM($B$4:$B$13))</f>
        <v/>
      </c>
    </row>
    <row r="23">
      <c r="A23" t="inlineStr">
        <is>
          <t xml:space="preserve">Medical </t>
        </is>
      </c>
      <c r="B23">
        <f>COUNTIF(MedicalData[Specific injuries treated],"*"&amp;A23&amp;"*")</f>
        <v/>
      </c>
      <c r="C23" s="35">
        <f>IF(SUM($B$4:$B$13)=0,0,B23/SUM($B$4:$B$13))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COUNTIF(MedicalData[History/Mechanism of injury],A4)</f>
        <v/>
      </c>
      <c r="C4" s="35">
        <f>IF(SUM($B$4:$B$10)=0,0,B4/SUM($B$4:$B$10))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COUNTIF(MedicalData[History/Mechanism of injury],A5)</f>
        <v/>
      </c>
      <c r="C5" s="35">
        <f>IF(SUM($B$4:$B$10)=0,0,B5/SUM($B$4:$B$10))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COUNTIF(MedicalData[History/Mechanism of injury],A6)</f>
        <v/>
      </c>
      <c r="C6" s="35">
        <f>IF(SUM($B$4:$B$10)=0,0,B6/SUM($B$4:$B$10))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COUNTIF(MedicalData[History/Mechanism of injury],A7)</f>
        <v/>
      </c>
      <c r="C7" s="35">
        <f>IF(SUM($B$4:$B$10)=0,0,B7/SUM($B$4:$B$10))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COUNTIF(MedicalData[History/Mechanism of injury],A8)</f>
        <v/>
      </c>
      <c r="C8" s="35">
        <f>IF(SUM($B$4:$B$10)=0,0,B8/SUM($B$4:$B$10))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COUNTIF(MedicalData[History/Mechanism of injury],A9)</f>
        <v/>
      </c>
      <c r="C9" s="35">
        <f>IF(SUM($B$4:$B$10)=0,0,B9/SUM($B$4:$B$10))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COUNTIF(MedicalData[History/Mechanism of injury],A10)</f>
        <v/>
      </c>
      <c r="C10" s="35">
        <f>IF(SUM($B$4:$B$10)=0,0,B10/SUM($B$4:$B$10))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COUNTIF(MedicalData[History/Mechanism of injury],A11)</f>
        <v/>
      </c>
      <c r="C11" s="35">
        <f>IF(SUM($B$4:$B$10)=0,0,B11/SUM($B$4:$B$10))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COUNTIF(MedicalData[History/Mechanism of injury],A12)</f>
        <v/>
      </c>
      <c r="C12" s="35">
        <f>IF(SUM($B$4:$B$10)=0,0,B12/SUM($B$4:$B$10))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COUNTIF(MedicalData[History/Mechanism of injury],A13)</f>
        <v/>
      </c>
      <c r="C13" s="35">
        <f>IF(SUM($B$4:$B$10)=0,0,B13/SUM($B$4:$B$10))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COUNTIF(MedicalData[History/Mechanism of injury],A14)</f>
        <v/>
      </c>
      <c r="C14" s="35">
        <f>IF(SUM($B$4:$B$10)=0,0,B14/SUM($B$4:$B$10))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COUNTIF(MedicalData[History/Mechanism of injury],A15)</f>
        <v/>
      </c>
      <c r="C15" s="35">
        <f>IF(SUM($B$4:$B$10)=0,0,B15/SUM($B$4:$B$10))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COUNTIF(MedicalData[History/Mechanism of injury],A16)</f>
        <v/>
      </c>
      <c r="C16" s="35">
        <f>IF(SUM($B$4:$B$10)=0,0,B16/SUM($B$4:$B$10))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COUNTIF(MedicalData[History/Mechanism of injury],A17)</f>
        <v/>
      </c>
      <c r="C17" s="35">
        <f>IF(SUM($B$4:$B$10)=0,0,B17/SUM($B$4:$B$10))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COUNTIF(MedicalData[History/Mechanism of injury],A18)</f>
        <v/>
      </c>
      <c r="C18" s="35">
        <f>IF(SUM($B$4:$B$10)=0,0,B18/SUM($B$4:$B$10))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COUNTIF(MedicalData[History/Mechanism of injury],A19)</f>
        <v/>
      </c>
      <c r="C19" s="35">
        <f>IF(SUM($B$4:$B$10)=0,0,B19/SUM($B$4:$B$10))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COUNTIF(MedicalData[History/Mechanism of injury],A20)</f>
        <v/>
      </c>
      <c r="C20" s="35">
        <f>IF(SUM($B$4:$B$10)=0,0,B20/SUM($B$4:$B$10))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COUNTIF(MedicalData[History/Mechanism of injury],A21)</f>
        <v/>
      </c>
      <c r="C21" s="35">
        <f>IF(SUM($B$4:$B$10)=0,0,B21/SUM($B$4:$B$10))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COUNTIF(MedicalData[History/Mechanism of injury],A22)</f>
        <v/>
      </c>
      <c r="C22" s="35">
        <f>IF(SUM($B$4:$B$10)=0,0,B22/SUM($B$4:$B$10))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COUNTIF(MedicalData[History/Mechanism of injury],A23)</f>
        <v/>
      </c>
      <c r="C23" s="35">
        <f>IF(SUM($B$4:$B$10)=0,0,B23/SUM($B$4:$B$10))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COUNTIF(MedicalData[History/Mechanism of injury],A24)</f>
        <v/>
      </c>
      <c r="C24" s="35">
        <f>IF(SUM($B$4:$B$10)=0,0,B24/SUM($B$4:$B$10))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COUNTIF(MedicalData[Time Period],"Morning")</f>
        <v/>
      </c>
      <c r="D4">
        <f>IF(C4&gt;=10,"🔴 HIGH",IF(C4&gt;=5,"🟡 MEDIUM","🟢 LOW"))</f>
        <v/>
      </c>
      <c r="E4" s="35">
        <f>IF($C$8=0,0,C4/$C$8)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COUNTIF(MedicalData[Time Period],"Afternoon")</f>
        <v/>
      </c>
      <c r="D5">
        <f>IF(C5&gt;=10,"🔴 HIGH",IF(C5&gt;=5,"🟡 MEDIUM","🟢 LOW"))</f>
        <v/>
      </c>
      <c r="E5" s="35">
        <f>IF($C$8=0,0,C5/$C$8)</f>
        <v/>
      </c>
    </row>
    <row r="6">
      <c r="A6" t="inlineStr">
        <is>
          <t>Evening</t>
        </is>
      </c>
      <c r="B6" t="inlineStr">
        <is>
          <t>18:00 - 21:59</t>
        </is>
      </c>
      <c r="C6">
        <f>COUNTIF(MedicalData[Time Period],"Evening")</f>
        <v/>
      </c>
      <c r="D6">
        <f>IF(C6&gt;=10,"🔴 HIGH",IF(C6&gt;=5,"🟡 MEDIUM","🟢 LOW"))</f>
        <v/>
      </c>
      <c r="E6" s="35">
        <f>IF($C$8=0,0,C6/$C$8)</f>
        <v/>
      </c>
    </row>
    <row r="7">
      <c r="A7" t="inlineStr">
        <is>
          <t>Night</t>
        </is>
      </c>
      <c r="B7" t="inlineStr">
        <is>
          <t>22:00 - 5:59</t>
        </is>
      </c>
      <c r="C7">
        <f>COUNTIF(MedicalData[Time Period],"Night")</f>
        <v/>
      </c>
      <c r="D7">
        <f>IF(C7&gt;=10,"🔴 HIGH",IF(C7&gt;=5,"🟡 MEDIUM","🟢 LOW"))</f>
        <v/>
      </c>
      <c r="E7" s="35">
        <f>IF($C$8=0,0,C7/$C$8)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</row>
    <row r="6">
      <c r="A6" t="inlineStr">
        <is>
          <t>Kicking Boxing</t>
        </is>
      </c>
      <c r="E6" t="inlineStr">
        <is>
          <t>May-24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  <row r="26"/>
    <row r="27"/>
    <row r="28"/>
    <row r="29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2025-12-04T09:59:45Z</dcterms:modified>
  <cp:lastModifiedBy>stephen tapala</cp:lastModifiedBy>
</cp:coreProperties>
</file>