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DD-MMM-YYYY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9" pivotButton="0" quotePrefix="0" xfId="0"/>
    <xf numFmtId="166" fontId="0" fillId="0" borderId="9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9" t="n">
        <v>45628</v>
      </c>
      <c r="B2" s="200" t="n">
        <v>0.45625</v>
      </c>
      <c r="C2" s="63" t="n">
        <v>19</v>
      </c>
      <c r="D2" s="63" t="inlineStr">
        <is>
          <t>Slips, Trips and falls</t>
        </is>
      </c>
      <c r="E2" s="63" t="inlineStr">
        <is>
          <t xml:space="preserve">Activity </t>
        </is>
      </c>
      <c r="F2" s="63" t="inlineStr">
        <is>
          <t>Basketball</t>
        </is>
      </c>
      <c r="G2" s="63" t="inlineStr">
        <is>
          <t>Open Play</t>
        </is>
      </c>
      <c r="H2" s="63" t="inlineStr">
        <is>
          <t>Foot</t>
        </is>
      </c>
      <c r="I2" s="63" t="inlineStr">
        <is>
          <t>P3</t>
        </is>
      </c>
      <c r="J2" s="63" t="inlineStr">
        <is>
          <t>NO</t>
        </is>
      </c>
      <c r="K2" s="63">
        <f>TEXT(A2,"MMM-YY")</f>
        <v/>
      </c>
      <c r="L2" s="63">
        <f>HOUR(B2)</f>
        <v/>
      </c>
      <c r="M2" s="63">
        <f>IF(L2&lt;6,"Night",IF(L2&lt;12,"Morning",IF(L2&lt;18,"Afternoon","Evening")))</f>
        <v/>
      </c>
      <c r="N2" s="63">
        <f>TEXT(A2,"DDD")</f>
        <v/>
      </c>
      <c r="O2" s="63">
        <f>WEEKNUM(A2)</f>
        <v/>
      </c>
      <c r="P2" s="63">
        <f>INDEX({"Q1","Q1","Q1","Q2","Q2","Q2","Q3","Q3","Q3","Q4","Q4","Q4"},MONTH(A2))</f>
        <v/>
      </c>
    </row>
    <row r="3">
      <c r="A3" s="199" t="n">
        <v>45629</v>
      </c>
      <c r="B3" s="200" t="n">
        <v>0.7361111111111112</v>
      </c>
      <c r="C3" s="63" t="n">
        <v>19</v>
      </c>
      <c r="D3" s="63" t="inlineStr">
        <is>
          <t>Slips, Trips and falls</t>
        </is>
      </c>
      <c r="E3" s="63" t="inlineStr">
        <is>
          <t xml:space="preserve">Activity </t>
        </is>
      </c>
      <c r="F3" s="63" t="inlineStr">
        <is>
          <t>Basketball</t>
        </is>
      </c>
      <c r="G3" s="63" t="inlineStr">
        <is>
          <t>Open Play</t>
        </is>
      </c>
      <c r="H3" s="63" t="inlineStr">
        <is>
          <t>Wrist</t>
        </is>
      </c>
      <c r="I3" s="63" t="inlineStr">
        <is>
          <t>P3</t>
        </is>
      </c>
      <c r="J3" s="63" t="inlineStr">
        <is>
          <t>NO</t>
        </is>
      </c>
      <c r="K3" s="63">
        <f>TEXT(A3,"MMM-YY")</f>
        <v/>
      </c>
      <c r="L3" s="63">
        <f>HOUR(B3)</f>
        <v/>
      </c>
      <c r="M3" s="63">
        <f>IF(L3&lt;6,"Night",IF(L3&lt;12,"Morning",IF(L3&lt;18,"Afternoon","Evening")))</f>
        <v/>
      </c>
      <c r="N3" s="63">
        <f>TEXT(A3,"DDD")</f>
        <v/>
      </c>
      <c r="O3" s="63">
        <f>WEEKNUM(A3)</f>
        <v/>
      </c>
      <c r="P3" s="63">
        <f>INDEX({"Q1","Q1","Q1","Q2","Q2","Q2","Q3","Q3","Q3","Q4","Q4","Q4"},MONTH(A3))</f>
        <v/>
      </c>
    </row>
    <row r="4">
      <c r="A4" s="199" t="n">
        <v>45631</v>
      </c>
      <c r="B4" s="200" t="n">
        <v>0.5069444444444444</v>
      </c>
      <c r="C4" s="63" t="n">
        <v>17</v>
      </c>
      <c r="D4" s="63" t="inlineStr">
        <is>
          <t>Medical</t>
        </is>
      </c>
      <c r="E4" s="63" t="inlineStr">
        <is>
          <t xml:space="preserve">Activity </t>
        </is>
      </c>
      <c r="F4" s="63" t="inlineStr">
        <is>
          <t xml:space="preserve">11- A side </t>
        </is>
      </c>
      <c r="G4" s="63" t="inlineStr">
        <is>
          <t>Open Play</t>
        </is>
      </c>
      <c r="H4" s="63" t="inlineStr">
        <is>
          <t>Medical</t>
        </is>
      </c>
      <c r="I4" s="63" t="inlineStr">
        <is>
          <t>P3</t>
        </is>
      </c>
      <c r="J4" s="63" t="inlineStr">
        <is>
          <t>NO</t>
        </is>
      </c>
      <c r="K4" s="63">
        <f>TEXT(A4,"MMM-YY")</f>
        <v/>
      </c>
      <c r="L4" s="63">
        <f>HOUR(B4)</f>
        <v/>
      </c>
      <c r="M4" s="63">
        <f>IF(L4&lt;6,"Night",IF(L4&lt;12,"Morning",IF(L4&lt;18,"Afternoon","Evening")))</f>
        <v/>
      </c>
      <c r="N4" s="63">
        <f>TEXT(A4,"DDD")</f>
        <v/>
      </c>
      <c r="O4" s="63">
        <f>WEEKNUM(A4)</f>
        <v/>
      </c>
      <c r="P4" s="63">
        <f>INDEX({"Q1","Q1","Q1","Q2","Q2","Q2","Q3","Q3","Q3","Q4","Q4","Q4"},MONTH(A4))</f>
        <v/>
      </c>
    </row>
    <row r="5">
      <c r="A5" s="199" t="n">
        <v>45631</v>
      </c>
      <c r="B5" s="200" t="n">
        <v>0.5159722222222223</v>
      </c>
      <c r="C5" s="63" t="n">
        <v>17</v>
      </c>
      <c r="D5" s="63" t="inlineStr">
        <is>
          <t>Player-to-Player</t>
        </is>
      </c>
      <c r="E5" s="63" t="inlineStr">
        <is>
          <t xml:space="preserve">Activity </t>
        </is>
      </c>
      <c r="F5" s="63" t="inlineStr">
        <is>
          <t>Basketball</t>
        </is>
      </c>
      <c r="G5" s="63" t="inlineStr">
        <is>
          <t>Open Play</t>
        </is>
      </c>
      <c r="H5" s="63" t="inlineStr">
        <is>
          <t>Lower limb</t>
        </is>
      </c>
      <c r="I5" s="63" t="inlineStr">
        <is>
          <t>P3</t>
        </is>
      </c>
      <c r="J5" s="63" t="inlineStr">
        <is>
          <t>NO</t>
        </is>
      </c>
      <c r="K5" s="63">
        <f>TEXT(A5,"MMM-YY")</f>
        <v/>
      </c>
      <c r="L5" s="63">
        <f>HOUR(B5)</f>
        <v/>
      </c>
      <c r="M5" s="63">
        <f>IF(L5&lt;6,"Night",IF(L5&lt;12,"Morning",IF(L5&lt;18,"Afternoon","Evening")))</f>
        <v/>
      </c>
      <c r="N5" s="63">
        <f>TEXT(A5,"DDD")</f>
        <v/>
      </c>
      <c r="O5" s="63">
        <f>WEEKNUM(A5)</f>
        <v/>
      </c>
      <c r="P5" s="63">
        <f>INDEX({"Q1","Q1","Q1","Q2","Q2","Q2","Q3","Q3","Q3","Q4","Q4","Q4"},MONTH(A5))</f>
        <v/>
      </c>
    </row>
    <row r="6">
      <c r="A6" s="199" t="n">
        <v>45640</v>
      </c>
      <c r="B6" s="200" t="n">
        <v>0.40625</v>
      </c>
      <c r="C6" s="63" t="n">
        <v>27</v>
      </c>
      <c r="D6" s="63" t="inlineStr">
        <is>
          <t>Player-to-Player</t>
        </is>
      </c>
      <c r="E6" s="63" t="inlineStr">
        <is>
          <t xml:space="preserve">Activity </t>
        </is>
      </c>
      <c r="F6" s="63" t="inlineStr">
        <is>
          <t xml:space="preserve">11- A side </t>
        </is>
      </c>
      <c r="G6" s="63" t="inlineStr">
        <is>
          <t>Clinic Stix Morewa Challenge</t>
        </is>
      </c>
      <c r="H6" s="63" t="inlineStr">
        <is>
          <t>Head Injury</t>
        </is>
      </c>
      <c r="I6" s="63" t="inlineStr">
        <is>
          <t>P3</t>
        </is>
      </c>
      <c r="J6" s="63" t="inlineStr">
        <is>
          <t>NO</t>
        </is>
      </c>
      <c r="K6" s="63">
        <f>TEXT(A6,"MMM-YY")</f>
        <v/>
      </c>
      <c r="L6" s="63">
        <f>HOUR(B6)</f>
        <v/>
      </c>
      <c r="M6" s="63">
        <f>IF(L6&lt;6,"Night",IF(L6&lt;12,"Morning",IF(L6&lt;18,"Afternoon","Evening")))</f>
        <v/>
      </c>
      <c r="N6" s="63">
        <f>TEXT(A6,"DDD")</f>
        <v/>
      </c>
      <c r="O6" s="63">
        <f>WEEKNUM(A6)</f>
        <v/>
      </c>
      <c r="P6" s="63">
        <f>INDEX({"Q1","Q1","Q1","Q2","Q2","Q2","Q3","Q3","Q3","Q4","Q4","Q4"},MONTH(A6))</f>
        <v/>
      </c>
    </row>
    <row r="7">
      <c r="A7" s="199" t="n">
        <v>45640</v>
      </c>
      <c r="B7" s="200" t="n">
        <v>0.5069444444444444</v>
      </c>
      <c r="C7" s="63" t="n">
        <v>17</v>
      </c>
      <c r="D7" s="63" t="inlineStr">
        <is>
          <t>Slips, Trips and falls</t>
        </is>
      </c>
      <c r="E7" s="63" t="inlineStr">
        <is>
          <t xml:space="preserve">Activity </t>
        </is>
      </c>
      <c r="F7" s="63" t="inlineStr">
        <is>
          <t>Basketball</t>
        </is>
      </c>
      <c r="G7" s="63" t="inlineStr">
        <is>
          <t>Open Play</t>
        </is>
      </c>
      <c r="H7" s="63" t="inlineStr">
        <is>
          <t>Knee</t>
        </is>
      </c>
      <c r="I7" s="63" t="inlineStr">
        <is>
          <t>P3</t>
        </is>
      </c>
      <c r="J7" s="63" t="inlineStr">
        <is>
          <t>NO</t>
        </is>
      </c>
      <c r="K7" s="63">
        <f>TEXT(A7,"MMM-YY")</f>
        <v/>
      </c>
      <c r="L7" s="63">
        <f>HOUR(B7)</f>
        <v/>
      </c>
      <c r="M7" s="63">
        <f>IF(L7&lt;6,"Night",IF(L7&lt;12,"Morning",IF(L7&lt;18,"Afternoon","Evening")))</f>
        <v/>
      </c>
      <c r="N7" s="63">
        <f>TEXT(A7,"DDD")</f>
        <v/>
      </c>
      <c r="O7" s="63">
        <f>WEEKNUM(A7)</f>
        <v/>
      </c>
      <c r="P7" s="63">
        <f>INDEX({"Q1","Q1","Q1","Q2","Q2","Q2","Q3","Q3","Q3","Q4","Q4","Q4"},MONTH(A7))</f>
        <v/>
      </c>
    </row>
    <row r="8">
      <c r="A8" s="199" t="n">
        <v>45646</v>
      </c>
      <c r="B8" s="200" t="n">
        <v>0.6770833333333334</v>
      </c>
      <c r="C8" s="63" t="n">
        <v>22</v>
      </c>
      <c r="D8" s="63" t="inlineStr">
        <is>
          <t>Slips, Trips and falls</t>
        </is>
      </c>
      <c r="E8" s="63" t="inlineStr">
        <is>
          <t xml:space="preserve">Activity </t>
        </is>
      </c>
      <c r="F8" s="63" t="inlineStr">
        <is>
          <t>Skate Park</t>
        </is>
      </c>
      <c r="G8" s="63" t="inlineStr">
        <is>
          <t>Open Play</t>
        </is>
      </c>
      <c r="H8" s="63" t="inlineStr">
        <is>
          <t>Lower limb</t>
        </is>
      </c>
      <c r="I8" s="63" t="inlineStr">
        <is>
          <t>P3</t>
        </is>
      </c>
      <c r="J8" s="63" t="inlineStr">
        <is>
          <t>NO</t>
        </is>
      </c>
      <c r="K8" s="63">
        <f>TEXT(A8,"MMM-YY")</f>
        <v/>
      </c>
      <c r="L8" s="63">
        <f>HOUR(B8)</f>
        <v/>
      </c>
      <c r="M8" s="63">
        <f>IF(L8&lt;6,"Night",IF(L8&lt;12,"Morning",IF(L8&lt;18,"Afternoon","Evening")))</f>
        <v/>
      </c>
      <c r="N8" s="63">
        <f>TEXT(A8,"DDD")</f>
        <v/>
      </c>
      <c r="O8" s="63">
        <f>WEEKNUM(A8)</f>
        <v/>
      </c>
      <c r="P8" s="63">
        <f>INDEX({"Q1","Q1","Q1","Q2","Q2","Q2","Q3","Q3","Q3","Q4","Q4","Q4"},MONTH(A8))</f>
        <v/>
      </c>
    </row>
    <row r="9">
      <c r="A9" s="199" t="n">
        <v>45665</v>
      </c>
      <c r="B9" s="200" t="n">
        <v>0.5138888888888888</v>
      </c>
      <c r="C9" s="63" t="n">
        <v>21</v>
      </c>
      <c r="D9" s="63" t="inlineStr">
        <is>
          <t>Slips, Trips and falls</t>
        </is>
      </c>
      <c r="E9" s="63" t="inlineStr">
        <is>
          <t xml:space="preserve">Activity </t>
        </is>
      </c>
      <c r="F9" s="63" t="inlineStr">
        <is>
          <t xml:space="preserve">11- A side </t>
        </is>
      </c>
      <c r="G9" s="63" t="inlineStr">
        <is>
          <t>Morning Show</t>
        </is>
      </c>
      <c r="H9" s="63" t="inlineStr">
        <is>
          <t>Ankle</t>
        </is>
      </c>
      <c r="I9" s="63" t="inlineStr">
        <is>
          <t>P3</t>
        </is>
      </c>
      <c r="J9" s="63" t="inlineStr">
        <is>
          <t>NO</t>
        </is>
      </c>
      <c r="K9" s="63">
        <f>TEXT(A9,"MMM-YY")</f>
        <v/>
      </c>
      <c r="L9" s="63">
        <f>HOUR(B9)</f>
        <v/>
      </c>
      <c r="M9" s="63">
        <f>IF(L9&lt;6,"Night",IF(L9&lt;12,"Morning",IF(L9&lt;18,"Afternoon","Evening")))</f>
        <v/>
      </c>
      <c r="N9" s="63">
        <f>TEXT(A9,"DDD")</f>
        <v/>
      </c>
      <c r="O9" s="63">
        <f>WEEKNUM(A9)</f>
        <v/>
      </c>
      <c r="P9" s="63">
        <f>INDEX({"Q1","Q1","Q1","Q2","Q2","Q2","Q3","Q3","Q3","Q4","Q4","Q4"},MONTH(A9))</f>
        <v/>
      </c>
    </row>
    <row r="10">
      <c r="A10" s="199" t="n">
        <v>45665</v>
      </c>
      <c r="B10" s="200" t="n">
        <v>0.6180555555555556</v>
      </c>
      <c r="C10" s="63" t="n">
        <v>48</v>
      </c>
      <c r="D10" s="63" t="inlineStr">
        <is>
          <t>Struck by Equipment</t>
        </is>
      </c>
      <c r="E10" s="63" t="inlineStr">
        <is>
          <t xml:space="preserve">Equipment </t>
        </is>
      </c>
      <c r="F10" s="63" t="inlineStr">
        <is>
          <t xml:space="preserve">11- A side </t>
        </is>
      </c>
      <c r="G10" s="63" t="inlineStr">
        <is>
          <t>Open Play</t>
        </is>
      </c>
      <c r="H10" s="63" t="inlineStr">
        <is>
          <t>Facial Injury</t>
        </is>
      </c>
      <c r="I10" s="63" t="inlineStr">
        <is>
          <t>P3</t>
        </is>
      </c>
      <c r="J10" s="63" t="inlineStr">
        <is>
          <t>NO</t>
        </is>
      </c>
      <c r="K10" s="63">
        <f>TEXT(A10,"MMM-YY")</f>
        <v/>
      </c>
      <c r="L10" s="63">
        <f>HOUR(B10)</f>
        <v/>
      </c>
      <c r="M10" s="63">
        <f>IF(L10&lt;6,"Night",IF(L10&lt;12,"Morning",IF(L10&lt;18,"Afternoon","Evening")))</f>
        <v/>
      </c>
      <c r="N10" s="63">
        <f>TEXT(A10,"DDD")</f>
        <v/>
      </c>
      <c r="O10" s="63">
        <f>WEEKNUM(A10)</f>
        <v/>
      </c>
      <c r="P10" s="63">
        <f>INDEX({"Q1","Q1","Q1","Q2","Q2","Q2","Q3","Q3","Q3","Q4","Q4","Q4"},MONTH(A10))</f>
        <v/>
      </c>
    </row>
    <row r="11">
      <c r="A11" s="199" t="n">
        <v>45665</v>
      </c>
      <c r="B11" s="200" t="n">
        <v>0.6319444444444444</v>
      </c>
      <c r="C11" s="63" t="n">
        <v>22</v>
      </c>
      <c r="D11" s="63" t="inlineStr">
        <is>
          <t>Slips, Trips and falls</t>
        </is>
      </c>
      <c r="E11" s="63" t="inlineStr">
        <is>
          <t xml:space="preserve">Activity </t>
        </is>
      </c>
      <c r="F11" s="63" t="inlineStr">
        <is>
          <t xml:space="preserve">11- A side </t>
        </is>
      </c>
      <c r="G11" s="63" t="inlineStr">
        <is>
          <t>Open Play</t>
        </is>
      </c>
      <c r="H11" s="63" t="inlineStr">
        <is>
          <t>Knee</t>
        </is>
      </c>
      <c r="I11" s="63" t="inlineStr">
        <is>
          <t>P3</t>
        </is>
      </c>
      <c r="J11" s="63" t="inlineStr">
        <is>
          <t>NO</t>
        </is>
      </c>
      <c r="K11" s="63">
        <f>TEXT(A11,"MMM-YY")</f>
        <v/>
      </c>
      <c r="L11" s="63">
        <f>HOUR(B11)</f>
        <v/>
      </c>
      <c r="M11" s="63">
        <f>IF(L11&lt;6,"Night",IF(L11&lt;12,"Morning",IF(L11&lt;18,"Afternoon","Evening")))</f>
        <v/>
      </c>
      <c r="N11" s="63">
        <f>TEXT(A11,"DDD")</f>
        <v/>
      </c>
      <c r="O11" s="63">
        <f>WEEKNUM(A11)</f>
        <v/>
      </c>
      <c r="P11" s="63">
        <f>INDEX({"Q1","Q1","Q1","Q2","Q2","Q2","Q3","Q3","Q3","Q4","Q4","Q4"},MONTH(A11))</f>
        <v/>
      </c>
    </row>
    <row r="12">
      <c r="A12" s="199" t="n">
        <v>45673</v>
      </c>
      <c r="B12" s="200" t="n">
        <v>0.7368055555555556</v>
      </c>
      <c r="C12" s="63" t="n">
        <v>31</v>
      </c>
      <c r="D12" s="63" t="inlineStr">
        <is>
          <t>Struck by Equipment</t>
        </is>
      </c>
      <c r="E12" s="63" t="inlineStr">
        <is>
          <t xml:space="preserve">Activity </t>
        </is>
      </c>
      <c r="F12" s="63" t="inlineStr">
        <is>
          <t>Basketball</t>
        </is>
      </c>
      <c r="G12" s="63" t="inlineStr">
        <is>
          <t>Open Play</t>
        </is>
      </c>
      <c r="H12" s="63" t="inlineStr">
        <is>
          <t>Hand</t>
        </is>
      </c>
      <c r="I12" s="63" t="inlineStr">
        <is>
          <t>P3</t>
        </is>
      </c>
      <c r="J12" s="63" t="inlineStr">
        <is>
          <t>NO</t>
        </is>
      </c>
      <c r="K12" s="63">
        <f>TEXT(A12,"MMM-YY")</f>
        <v/>
      </c>
      <c r="L12" s="63">
        <f>HOUR(B12)</f>
        <v/>
      </c>
      <c r="M12" s="63">
        <f>IF(L12&lt;6,"Night",IF(L12&lt;12,"Morning",IF(L12&lt;18,"Afternoon","Evening")))</f>
        <v/>
      </c>
      <c r="N12" s="63">
        <f>TEXT(A12,"DDD")</f>
        <v/>
      </c>
      <c r="O12" s="63">
        <f>WEEKNUM(A12)</f>
        <v/>
      </c>
      <c r="P12" s="63">
        <f>INDEX({"Q1","Q1","Q1","Q2","Q2","Q2","Q3","Q3","Q3","Q4","Q4","Q4"},MONTH(A12))</f>
        <v/>
      </c>
    </row>
    <row r="13">
      <c r="A13" s="199" t="n">
        <v>45674</v>
      </c>
      <c r="B13" s="200" t="n">
        <v>0.5479166666666667</v>
      </c>
      <c r="C13" s="63" t="n">
        <v>26</v>
      </c>
      <c r="D13" s="63" t="inlineStr">
        <is>
          <t>Slips, Trips and falls</t>
        </is>
      </c>
      <c r="E13" s="63" t="inlineStr">
        <is>
          <t xml:space="preserve">Activity </t>
        </is>
      </c>
      <c r="F13" s="63" t="inlineStr">
        <is>
          <t>Skate Park</t>
        </is>
      </c>
      <c r="G13" s="63" t="inlineStr">
        <is>
          <t>Open Play</t>
        </is>
      </c>
      <c r="H13" s="63" t="inlineStr">
        <is>
          <t>Wrist</t>
        </is>
      </c>
      <c r="I13" s="63" t="inlineStr">
        <is>
          <t>P3</t>
        </is>
      </c>
      <c r="J13" s="63" t="inlineStr">
        <is>
          <t>NO</t>
        </is>
      </c>
      <c r="K13" s="63">
        <f>TEXT(A13,"MMM-YY")</f>
        <v/>
      </c>
      <c r="L13" s="63">
        <f>HOUR(B13)</f>
        <v/>
      </c>
      <c r="M13" s="63">
        <f>IF(L13&lt;6,"Night",IF(L13&lt;12,"Morning",IF(L13&lt;18,"Afternoon","Evening")))</f>
        <v/>
      </c>
      <c r="N13" s="63">
        <f>TEXT(A13,"DDD")</f>
        <v/>
      </c>
      <c r="O13" s="63">
        <f>WEEKNUM(A13)</f>
        <v/>
      </c>
      <c r="P13" s="63">
        <f>INDEX({"Q1","Q1","Q1","Q2","Q2","Q2","Q3","Q3","Q3","Q4","Q4","Q4"},MONTH(A13))</f>
        <v/>
      </c>
    </row>
    <row r="14">
      <c r="A14" s="199" t="n">
        <v>45678</v>
      </c>
      <c r="B14" s="200" t="n">
        <v>0.6520833333333333</v>
      </c>
      <c r="C14" s="63" t="n">
        <v>9</v>
      </c>
      <c r="D14" s="63" t="inlineStr">
        <is>
          <t>Medical</t>
        </is>
      </c>
      <c r="E14" s="63" t="inlineStr">
        <is>
          <t xml:space="preserve">Activity </t>
        </is>
      </c>
      <c r="F14" s="63" t="inlineStr">
        <is>
          <t>Skate Park</t>
        </is>
      </c>
      <c r="G14" s="63" t="inlineStr">
        <is>
          <t>Girl Skate</t>
        </is>
      </c>
      <c r="H14" s="63" t="inlineStr">
        <is>
          <t>Medical</t>
        </is>
      </c>
      <c r="I14" s="63" t="inlineStr">
        <is>
          <t>P3</t>
        </is>
      </c>
      <c r="J14" s="63" t="inlineStr">
        <is>
          <t>NO</t>
        </is>
      </c>
      <c r="K14" s="63">
        <f>TEXT(A14,"MMM-YY")</f>
        <v/>
      </c>
      <c r="L14" s="63">
        <f>HOUR(B14)</f>
        <v/>
      </c>
      <c r="M14" s="63">
        <f>IF(L14&lt;6,"Night",IF(L14&lt;12,"Morning",IF(L14&lt;18,"Afternoon","Evening")))</f>
        <v/>
      </c>
      <c r="N14" s="63">
        <f>TEXT(A14,"DDD")</f>
        <v/>
      </c>
      <c r="O14" s="63">
        <f>WEEKNUM(A14)</f>
        <v/>
      </c>
      <c r="P14" s="63">
        <f>INDEX({"Q1","Q1","Q1","Q2","Q2","Q2","Q3","Q3","Q3","Q4","Q4","Q4"},MONTH(A14))</f>
        <v/>
      </c>
    </row>
    <row r="15">
      <c r="A15" s="199" t="n">
        <v>45678</v>
      </c>
      <c r="B15" s="200" t="n">
        <v>0.6736111111111112</v>
      </c>
      <c r="C15" s="63" t="n">
        <v>8</v>
      </c>
      <c r="D15" s="63" t="inlineStr">
        <is>
          <t>Heat-Related</t>
        </is>
      </c>
      <c r="E15" s="63" t="inlineStr">
        <is>
          <t xml:space="preserve">Enviroment </t>
        </is>
      </c>
      <c r="F15" s="63" t="inlineStr">
        <is>
          <t>Skate Park</t>
        </is>
      </c>
      <c r="G15" s="63" t="inlineStr">
        <is>
          <t>Girl Skate</t>
        </is>
      </c>
      <c r="H15" s="63" t="inlineStr">
        <is>
          <t>Medical</t>
        </is>
      </c>
      <c r="I15" s="63" t="inlineStr">
        <is>
          <t>P3</t>
        </is>
      </c>
      <c r="J15" s="63" t="inlineStr">
        <is>
          <t>NO</t>
        </is>
      </c>
      <c r="K15" s="63">
        <f>TEXT(A15,"MMM-YY")</f>
        <v/>
      </c>
      <c r="L15" s="63">
        <f>HOUR(B15)</f>
        <v/>
      </c>
      <c r="M15" s="63">
        <f>IF(L15&lt;6,"Night",IF(L15&lt;12,"Morning",IF(L15&lt;18,"Afternoon","Evening")))</f>
        <v/>
      </c>
      <c r="N15" s="63">
        <f>TEXT(A15,"DDD")</f>
        <v/>
      </c>
      <c r="O15" s="63">
        <f>WEEKNUM(A15)</f>
        <v/>
      </c>
      <c r="P15" s="63">
        <f>INDEX({"Q1","Q1","Q1","Q2","Q2","Q2","Q3","Q3","Q3","Q4","Q4","Q4"},MONTH(A15))</f>
        <v/>
      </c>
    </row>
    <row r="16">
      <c r="A16" s="199" t="n">
        <v>45685</v>
      </c>
      <c r="B16" s="200" t="n">
        <v>0.7055555555555556</v>
      </c>
      <c r="C16" s="63" t="n">
        <v>16</v>
      </c>
      <c r="D16" s="63" t="inlineStr">
        <is>
          <t>Muscle Strains</t>
        </is>
      </c>
      <c r="E16" s="63" t="inlineStr">
        <is>
          <t xml:space="preserve">Activity </t>
        </is>
      </c>
      <c r="F16" s="63" t="inlineStr">
        <is>
          <t>Athletics track</t>
        </is>
      </c>
      <c r="G16" s="63" t="inlineStr">
        <is>
          <t>Running with the pack</t>
        </is>
      </c>
      <c r="H16" s="63" t="inlineStr">
        <is>
          <t>Ankle</t>
        </is>
      </c>
      <c r="I16" s="63" t="inlineStr">
        <is>
          <t>P3</t>
        </is>
      </c>
      <c r="J16" s="63" t="inlineStr">
        <is>
          <t>NO</t>
        </is>
      </c>
      <c r="K16" s="63">
        <f>TEXT(A16,"MMM-YY")</f>
        <v/>
      </c>
      <c r="L16" s="63">
        <f>HOUR(B16)</f>
        <v/>
      </c>
      <c r="M16" s="63">
        <f>IF(L16&lt;6,"Night",IF(L16&lt;12,"Morning",IF(L16&lt;18,"Afternoon","Evening")))</f>
        <v/>
      </c>
      <c r="N16" s="63">
        <f>TEXT(A16,"DDD")</f>
        <v/>
      </c>
      <c r="O16" s="63">
        <f>WEEKNUM(A16)</f>
        <v/>
      </c>
      <c r="P16" s="63">
        <f>INDEX({"Q1","Q1","Q1","Q2","Q2","Q2","Q3","Q3","Q3","Q4","Q4","Q4"},MONTH(A16))</f>
        <v/>
      </c>
    </row>
    <row r="17">
      <c r="A17" s="199" t="n">
        <v>45686</v>
      </c>
      <c r="B17" s="200" t="n">
        <v>0.5055555555555555</v>
      </c>
      <c r="C17" s="63" t="n">
        <v>69</v>
      </c>
      <c r="D17" s="63" t="inlineStr">
        <is>
          <t>Muscle Strains</t>
        </is>
      </c>
      <c r="E17" s="63" t="inlineStr">
        <is>
          <t xml:space="preserve">Activity </t>
        </is>
      </c>
      <c r="F17" s="63" t="inlineStr">
        <is>
          <t xml:space="preserve">11- A side </t>
        </is>
      </c>
      <c r="G17" s="63" t="inlineStr">
        <is>
          <t>Open Play</t>
        </is>
      </c>
      <c r="H17" s="63" t="inlineStr">
        <is>
          <t>Ankle</t>
        </is>
      </c>
      <c r="I17" s="63" t="inlineStr">
        <is>
          <t>P3</t>
        </is>
      </c>
      <c r="J17" s="63" t="inlineStr">
        <is>
          <t>NO</t>
        </is>
      </c>
      <c r="K17" s="63">
        <f>TEXT(A17,"MMM-YY")</f>
        <v/>
      </c>
      <c r="L17" s="63">
        <f>HOUR(B17)</f>
        <v/>
      </c>
      <c r="M17" s="63">
        <f>IF(L17&lt;6,"Night",IF(L17&lt;12,"Morning",IF(L17&lt;18,"Afternoon","Evening")))</f>
        <v/>
      </c>
      <c r="N17" s="63">
        <f>TEXT(A17,"DDD")</f>
        <v/>
      </c>
      <c r="O17" s="63">
        <f>WEEKNUM(A17)</f>
        <v/>
      </c>
      <c r="P17" s="63">
        <f>INDEX({"Q1","Q1","Q1","Q2","Q2","Q2","Q3","Q3","Q3","Q4","Q4","Q4"},MONTH(A17))</f>
        <v/>
      </c>
    </row>
    <row r="18">
      <c r="A18" s="199" t="n">
        <v>45687</v>
      </c>
      <c r="B18" s="200" t="n">
        <v>0.4625</v>
      </c>
      <c r="C18" s="63" t="n">
        <v>42</v>
      </c>
      <c r="D18" s="63" t="inlineStr">
        <is>
          <t>Player-to-Player</t>
        </is>
      </c>
      <c r="E18" s="63" t="inlineStr">
        <is>
          <t xml:space="preserve">Activity </t>
        </is>
      </c>
      <c r="F18" s="63" t="inlineStr">
        <is>
          <t xml:space="preserve">11- A side </t>
        </is>
      </c>
      <c r="G18" s="63" t="inlineStr">
        <is>
          <t>Morning Show</t>
        </is>
      </c>
      <c r="H18" s="63" t="inlineStr">
        <is>
          <t>Facial Injury</t>
        </is>
      </c>
      <c r="I18" s="63" t="inlineStr">
        <is>
          <t>P3</t>
        </is>
      </c>
      <c r="J18" s="63" t="inlineStr">
        <is>
          <t>NO</t>
        </is>
      </c>
      <c r="K18" s="63">
        <f>TEXT(A18,"MMM-YY")</f>
        <v/>
      </c>
      <c r="L18" s="63">
        <f>HOUR(B18)</f>
        <v/>
      </c>
      <c r="M18" s="63">
        <f>IF(L18&lt;6,"Night",IF(L18&lt;12,"Morning",IF(L18&lt;18,"Afternoon","Evening")))</f>
        <v/>
      </c>
      <c r="N18" s="63">
        <f>TEXT(A18,"DDD")</f>
        <v/>
      </c>
      <c r="O18" s="63">
        <f>WEEKNUM(A18)</f>
        <v/>
      </c>
      <c r="P18" s="63">
        <f>INDEX({"Q1","Q1","Q1","Q2","Q2","Q2","Q3","Q3","Q3","Q4","Q4","Q4"},MONTH(A18))</f>
        <v/>
      </c>
    </row>
    <row r="19">
      <c r="A19" s="199" t="n">
        <v>45687</v>
      </c>
      <c r="B19" s="200" t="n">
        <v>0.6895833333333333</v>
      </c>
      <c r="C19" s="63" t="n">
        <v>16</v>
      </c>
      <c r="D19" s="63" t="inlineStr">
        <is>
          <t>Slips, Trips and falls</t>
        </is>
      </c>
      <c r="E19" s="63" t="inlineStr">
        <is>
          <t xml:space="preserve">Activity </t>
        </is>
      </c>
      <c r="F19" s="63" t="inlineStr">
        <is>
          <t xml:space="preserve">11- A side </t>
        </is>
      </c>
      <c r="G19" s="63" t="inlineStr">
        <is>
          <t>Open Play</t>
        </is>
      </c>
      <c r="H19" s="63" t="inlineStr">
        <is>
          <t>Wrist</t>
        </is>
      </c>
      <c r="I19" s="63" t="inlineStr">
        <is>
          <t>P3</t>
        </is>
      </c>
      <c r="J19" s="63" t="inlineStr">
        <is>
          <t>NO</t>
        </is>
      </c>
      <c r="K19" s="63">
        <f>TEXT(A19,"MMM-YY")</f>
        <v/>
      </c>
      <c r="L19" s="63">
        <f>HOUR(B19)</f>
        <v/>
      </c>
      <c r="M19" s="63">
        <f>IF(L19&lt;6,"Night",IF(L19&lt;12,"Morning",IF(L19&lt;18,"Afternoon","Evening")))</f>
        <v/>
      </c>
      <c r="N19" s="63">
        <f>TEXT(A19,"DDD")</f>
        <v/>
      </c>
      <c r="O19" s="63">
        <f>WEEKNUM(A19)</f>
        <v/>
      </c>
      <c r="P19" s="63">
        <f>INDEX({"Q1","Q1","Q1","Q2","Q2","Q2","Q3","Q3","Q3","Q4","Q4","Q4"},MONTH(A19))</f>
        <v/>
      </c>
    </row>
    <row r="20">
      <c r="A20" s="199" t="n">
        <v>45687</v>
      </c>
      <c r="B20" s="200" t="n">
        <v>0.7034722222222223</v>
      </c>
      <c r="C20" s="63" t="n">
        <v>26</v>
      </c>
      <c r="D20" s="63" t="inlineStr">
        <is>
          <t>Muscle Strains</t>
        </is>
      </c>
      <c r="E20" s="63" t="inlineStr">
        <is>
          <t xml:space="preserve">Activity </t>
        </is>
      </c>
      <c r="F20" s="63" t="inlineStr">
        <is>
          <t xml:space="preserve">11- A side </t>
        </is>
      </c>
      <c r="G20" s="63" t="inlineStr">
        <is>
          <t>Open Play</t>
        </is>
      </c>
      <c r="H20" s="63" t="inlineStr">
        <is>
          <t>Knee</t>
        </is>
      </c>
      <c r="I20" s="63" t="inlineStr">
        <is>
          <t>P3</t>
        </is>
      </c>
      <c r="J20" s="63" t="inlineStr">
        <is>
          <t>NO</t>
        </is>
      </c>
      <c r="K20" s="63">
        <f>TEXT(A20,"MMM-YY")</f>
        <v/>
      </c>
      <c r="L20" s="63">
        <f>HOUR(B20)</f>
        <v/>
      </c>
      <c r="M20" s="63">
        <f>IF(L20&lt;6,"Night",IF(L20&lt;12,"Morning",IF(L20&lt;18,"Afternoon","Evening")))</f>
        <v/>
      </c>
      <c r="N20" s="63">
        <f>TEXT(A20,"DDD")</f>
        <v/>
      </c>
      <c r="O20" s="63">
        <f>WEEKNUM(A20)</f>
        <v/>
      </c>
      <c r="P20" s="63">
        <f>INDEX({"Q1","Q1","Q1","Q2","Q2","Q2","Q3","Q3","Q3","Q4","Q4","Q4"},MONTH(A20))</f>
        <v/>
      </c>
    </row>
    <row r="21">
      <c r="A21" s="199" t="n">
        <v>45688</v>
      </c>
      <c r="B21" s="200" t="n">
        <v>0.5270833333333333</v>
      </c>
      <c r="C21" s="63" t="n">
        <v>29</v>
      </c>
      <c r="D21" s="63" t="inlineStr">
        <is>
          <t>Assault</t>
        </is>
      </c>
      <c r="E21" s="63" t="inlineStr">
        <is>
          <t xml:space="preserve">Activity </t>
        </is>
      </c>
      <c r="F21" s="63" t="inlineStr">
        <is>
          <t>P GATE</t>
        </is>
      </c>
      <c r="G21" s="63" t="inlineStr">
        <is>
          <t>Open Play</t>
        </is>
      </c>
      <c r="H21" s="63" t="inlineStr">
        <is>
          <t>Ankle</t>
        </is>
      </c>
      <c r="I21" s="63" t="inlineStr">
        <is>
          <t>P3</t>
        </is>
      </c>
      <c r="J21" s="63" t="inlineStr">
        <is>
          <t>NO</t>
        </is>
      </c>
      <c r="K21" s="63">
        <f>TEXT(A21,"MMM-YY")</f>
        <v/>
      </c>
      <c r="L21" s="63">
        <f>HOUR(B21)</f>
        <v/>
      </c>
      <c r="M21" s="63">
        <f>IF(L21&lt;6,"Night",IF(L21&lt;12,"Morning",IF(L21&lt;18,"Afternoon","Evening")))</f>
        <v/>
      </c>
      <c r="N21" s="63">
        <f>TEXT(A21,"DDD")</f>
        <v/>
      </c>
      <c r="O21" s="63">
        <f>WEEKNUM(A21)</f>
        <v/>
      </c>
      <c r="P21" s="63">
        <f>INDEX({"Q1","Q1","Q1","Q2","Q2","Q2","Q3","Q3","Q3","Q4","Q4","Q4"},MONTH(A21))</f>
        <v/>
      </c>
    </row>
    <row r="22">
      <c r="A22" s="199" t="n">
        <v>45688</v>
      </c>
      <c r="B22" s="200" t="n">
        <v>0.6423611111111112</v>
      </c>
      <c r="C22" s="63" t="n">
        <v>20</v>
      </c>
      <c r="D22" s="63" t="inlineStr">
        <is>
          <t>Player-to-Player</t>
        </is>
      </c>
      <c r="E22" s="63" t="inlineStr">
        <is>
          <t xml:space="preserve">Activity </t>
        </is>
      </c>
      <c r="F22" s="63" t="inlineStr">
        <is>
          <t>Basketball</t>
        </is>
      </c>
      <c r="G22" s="63" t="inlineStr">
        <is>
          <t>Open Play</t>
        </is>
      </c>
      <c r="H22" s="63" t="inlineStr">
        <is>
          <t>Facial Injury</t>
        </is>
      </c>
      <c r="I22" s="63" t="inlineStr">
        <is>
          <t>P3</t>
        </is>
      </c>
      <c r="J22" s="63" t="inlineStr">
        <is>
          <t>NO</t>
        </is>
      </c>
      <c r="K22" s="63">
        <f>TEXT(A22,"MMM-YY")</f>
        <v/>
      </c>
      <c r="L22" s="63">
        <f>HOUR(B22)</f>
        <v/>
      </c>
      <c r="M22" s="63">
        <f>IF(L22&lt;6,"Night",IF(L22&lt;12,"Morning",IF(L22&lt;18,"Afternoon","Evening")))</f>
        <v/>
      </c>
      <c r="N22" s="63">
        <f>TEXT(A22,"DDD")</f>
        <v/>
      </c>
      <c r="O22" s="63">
        <f>WEEKNUM(A22)</f>
        <v/>
      </c>
      <c r="P22" s="63">
        <f>INDEX({"Q1","Q1","Q1","Q2","Q2","Q2","Q3","Q3","Q3","Q4","Q4","Q4"},MONTH(A22))</f>
        <v/>
      </c>
    </row>
    <row r="23">
      <c r="A23" s="199" t="n">
        <v>45688</v>
      </c>
      <c r="B23" s="200" t="n">
        <v>0.7104166666666667</v>
      </c>
      <c r="C23" s="63" t="n">
        <v>30</v>
      </c>
      <c r="D23" s="63" t="inlineStr">
        <is>
          <t>Assault</t>
        </is>
      </c>
      <c r="E23" s="63" t="inlineStr">
        <is>
          <t xml:space="preserve">Activity </t>
        </is>
      </c>
      <c r="F23" s="63" t="inlineStr">
        <is>
          <t>P GATE</t>
        </is>
      </c>
      <c r="G23" s="63" t="inlineStr">
        <is>
          <t>Open Play</t>
        </is>
      </c>
      <c r="H23" s="63" t="inlineStr">
        <is>
          <t>Lower limb</t>
        </is>
      </c>
      <c r="I23" s="63" t="inlineStr">
        <is>
          <t>P3</t>
        </is>
      </c>
      <c r="J23" s="63" t="inlineStr">
        <is>
          <t>NO</t>
        </is>
      </c>
      <c r="K23" s="63">
        <f>TEXT(A23,"MMM-YY")</f>
        <v/>
      </c>
      <c r="L23" s="63">
        <f>HOUR(B23)</f>
        <v/>
      </c>
      <c r="M23" s="63">
        <f>IF(L23&lt;6,"Night",IF(L23&lt;12,"Morning",IF(L23&lt;18,"Afternoon","Evening")))</f>
        <v/>
      </c>
      <c r="N23" s="63">
        <f>TEXT(A23,"DDD")</f>
        <v/>
      </c>
      <c r="O23" s="63">
        <f>WEEKNUM(A23)</f>
        <v/>
      </c>
      <c r="P23" s="63">
        <f>INDEX({"Q1","Q1","Q1","Q2","Q2","Q2","Q3","Q3","Q3","Q4","Q4","Q4"},MONTH(A23))</f>
        <v/>
      </c>
    </row>
    <row r="24">
      <c r="A24" s="199" t="n">
        <v>45688</v>
      </c>
      <c r="B24" s="200" t="n">
        <v>0.7125</v>
      </c>
      <c r="C24" s="63" t="n">
        <v>35</v>
      </c>
      <c r="D24" s="63" t="inlineStr">
        <is>
          <t>Assault</t>
        </is>
      </c>
      <c r="E24" s="63" t="inlineStr">
        <is>
          <t xml:space="preserve">Activity </t>
        </is>
      </c>
      <c r="F24" s="63" t="inlineStr">
        <is>
          <t>P GATE</t>
        </is>
      </c>
      <c r="G24" s="63" t="inlineStr">
        <is>
          <t>Open Play</t>
        </is>
      </c>
      <c r="H24" s="63" t="inlineStr">
        <is>
          <t>Facial Injury</t>
        </is>
      </c>
      <c r="I24" s="63" t="inlineStr">
        <is>
          <t>P3</t>
        </is>
      </c>
      <c r="J24" s="63" t="inlineStr">
        <is>
          <t>NO</t>
        </is>
      </c>
      <c r="K24" s="63">
        <f>TEXT(A24,"MMM-YY")</f>
        <v/>
      </c>
      <c r="L24" s="63">
        <f>HOUR(B24)</f>
        <v/>
      </c>
      <c r="M24" s="63">
        <f>IF(L24&lt;6,"Night",IF(L24&lt;12,"Morning",IF(L24&lt;18,"Afternoon","Evening")))</f>
        <v/>
      </c>
      <c r="N24" s="63">
        <f>TEXT(A24,"DDD")</f>
        <v/>
      </c>
      <c r="O24" s="63">
        <f>WEEKNUM(A24)</f>
        <v/>
      </c>
      <c r="P24" s="63">
        <f>INDEX({"Q1","Q1","Q1","Q2","Q2","Q2","Q3","Q3","Q3","Q4","Q4","Q4"},MONTH(A24))</f>
        <v/>
      </c>
    </row>
    <row r="25">
      <c r="A25" s="199" t="n">
        <v>45690</v>
      </c>
      <c r="B25" s="200" t="n">
        <v>0.4597222222222222</v>
      </c>
      <c r="C25" s="63" t="n">
        <v>26</v>
      </c>
      <c r="D25" s="63" t="inlineStr">
        <is>
          <t>Slips, Trips and falls</t>
        </is>
      </c>
      <c r="E25" s="63" t="inlineStr">
        <is>
          <t xml:space="preserve">Activity </t>
        </is>
      </c>
      <c r="F25" s="63" t="inlineStr">
        <is>
          <t xml:space="preserve">11- A side </t>
        </is>
      </c>
      <c r="G25" s="63" t="inlineStr">
        <is>
          <t>LFA</t>
        </is>
      </c>
      <c r="H25" s="63" t="inlineStr">
        <is>
          <t>Knee</t>
        </is>
      </c>
      <c r="I25" s="63" t="inlineStr">
        <is>
          <t>P3</t>
        </is>
      </c>
      <c r="J25" s="63" t="inlineStr">
        <is>
          <t>NO</t>
        </is>
      </c>
      <c r="K25" s="63">
        <f>TEXT(A25,"MMM-YY")</f>
        <v/>
      </c>
      <c r="L25" s="63">
        <f>HOUR(B25)</f>
        <v/>
      </c>
      <c r="M25" s="63">
        <f>IF(L25&lt;6,"Night",IF(L25&lt;12,"Morning",IF(L25&lt;18,"Afternoon","Evening")))</f>
        <v/>
      </c>
      <c r="N25" s="63">
        <f>TEXT(A25,"DDD")</f>
        <v/>
      </c>
      <c r="O25" s="63">
        <f>WEEKNUM(A25)</f>
        <v/>
      </c>
      <c r="P25" s="63">
        <f>INDEX({"Q1","Q1","Q1","Q2","Q2","Q2","Q3","Q3","Q3","Q4","Q4","Q4"},MONTH(A25))</f>
        <v/>
      </c>
    </row>
    <row r="26">
      <c r="A26" s="199" t="n">
        <v>45690</v>
      </c>
      <c r="B26" s="200" t="n">
        <v>0.5381944444444444</v>
      </c>
      <c r="C26" s="63" t="n">
        <v>24</v>
      </c>
      <c r="D26" s="63" t="inlineStr">
        <is>
          <t>Player-to-Player</t>
        </is>
      </c>
      <c r="E26" s="63" t="inlineStr">
        <is>
          <t xml:space="preserve">Activity </t>
        </is>
      </c>
      <c r="F26" s="63" t="inlineStr">
        <is>
          <t xml:space="preserve">11- A side </t>
        </is>
      </c>
      <c r="G26" s="63" t="inlineStr">
        <is>
          <t>LFA</t>
        </is>
      </c>
      <c r="H26" s="63" t="inlineStr">
        <is>
          <t>Hand</t>
        </is>
      </c>
      <c r="I26" s="63" t="inlineStr">
        <is>
          <t>P3</t>
        </is>
      </c>
      <c r="J26" s="63" t="inlineStr">
        <is>
          <t>NO</t>
        </is>
      </c>
      <c r="K26" s="63">
        <f>TEXT(A26,"MMM-YY")</f>
        <v/>
      </c>
      <c r="L26" s="63">
        <f>HOUR(B26)</f>
        <v/>
      </c>
      <c r="M26" s="63">
        <f>IF(L26&lt;6,"Night",IF(L26&lt;12,"Morning",IF(L26&lt;18,"Afternoon","Evening")))</f>
        <v/>
      </c>
      <c r="N26" s="63">
        <f>TEXT(A26,"DDD")</f>
        <v/>
      </c>
      <c r="O26" s="63">
        <f>WEEKNUM(A26)</f>
        <v/>
      </c>
      <c r="P26" s="63">
        <f>INDEX({"Q1","Q1","Q1","Q2","Q2","Q2","Q3","Q3","Q3","Q4","Q4","Q4"},MONTH(A26))</f>
        <v/>
      </c>
    </row>
    <row r="27">
      <c r="A27" s="199" t="n">
        <v>45692</v>
      </c>
      <c r="B27" s="200" t="n">
        <v>0.6819444444444445</v>
      </c>
      <c r="C27" s="63" t="n">
        <v>17</v>
      </c>
      <c r="D27" s="63" t="inlineStr">
        <is>
          <t>Muscle Strains</t>
        </is>
      </c>
      <c r="E27" s="63" t="inlineStr">
        <is>
          <t xml:space="preserve">Activity </t>
        </is>
      </c>
      <c r="F27" s="63" t="inlineStr">
        <is>
          <t>Athletics track</t>
        </is>
      </c>
      <c r="G27" s="63" t="inlineStr">
        <is>
          <t>Running with the pack</t>
        </is>
      </c>
      <c r="H27" s="63" t="inlineStr">
        <is>
          <t>Ankle</t>
        </is>
      </c>
      <c r="I27" s="63" t="inlineStr">
        <is>
          <t>P3</t>
        </is>
      </c>
      <c r="J27" s="63" t="inlineStr">
        <is>
          <t>NO</t>
        </is>
      </c>
      <c r="K27" s="63">
        <f>TEXT(A27,"MMM-YY")</f>
        <v/>
      </c>
      <c r="L27" s="63">
        <f>HOUR(B27)</f>
        <v/>
      </c>
      <c r="M27" s="63">
        <f>IF(L27&lt;6,"Night",IF(L27&lt;12,"Morning",IF(L27&lt;18,"Afternoon","Evening")))</f>
        <v/>
      </c>
      <c r="N27" s="63">
        <f>TEXT(A27,"DDD")</f>
        <v/>
      </c>
      <c r="O27" s="63">
        <f>WEEKNUM(A27)</f>
        <v/>
      </c>
      <c r="P27" s="63">
        <f>INDEX({"Q1","Q1","Q1","Q2","Q2","Q2","Q3","Q3","Q3","Q4","Q4","Q4"},MONTH(A27))</f>
        <v/>
      </c>
    </row>
    <row r="28">
      <c r="A28" s="199" t="n">
        <v>45694</v>
      </c>
      <c r="B28" s="200" t="n">
        <v>0.6659722222222222</v>
      </c>
      <c r="C28" s="63" t="n">
        <v>16</v>
      </c>
      <c r="D28" s="63" t="inlineStr">
        <is>
          <t>Muscle Strains</t>
        </is>
      </c>
      <c r="E28" s="63" t="inlineStr">
        <is>
          <t xml:space="preserve">Activity </t>
        </is>
      </c>
      <c r="F28" s="63" t="inlineStr">
        <is>
          <t>Athletics track</t>
        </is>
      </c>
      <c r="G28" s="63" t="inlineStr">
        <is>
          <t>Running with the pack</t>
        </is>
      </c>
      <c r="H28" s="63" t="inlineStr">
        <is>
          <t>Ankle</t>
        </is>
      </c>
      <c r="I28" s="63" t="inlineStr">
        <is>
          <t>P3</t>
        </is>
      </c>
      <c r="J28" s="63" t="inlineStr">
        <is>
          <t>NO</t>
        </is>
      </c>
      <c r="K28" s="63">
        <f>TEXT(A28,"MMM-YY")</f>
        <v/>
      </c>
      <c r="L28" s="63">
        <f>HOUR(B28)</f>
        <v/>
      </c>
      <c r="M28" s="63">
        <f>IF(L28&lt;6,"Night",IF(L28&lt;12,"Morning",IF(L28&lt;18,"Afternoon","Evening")))</f>
        <v/>
      </c>
      <c r="N28" s="63">
        <f>TEXT(A28,"DDD")</f>
        <v/>
      </c>
      <c r="O28" s="63">
        <f>WEEKNUM(A28)</f>
        <v/>
      </c>
      <c r="P28" s="63">
        <f>INDEX({"Q1","Q1","Q1","Q2","Q2","Q2","Q3","Q3","Q3","Q4","Q4","Q4"},MONTH(A28))</f>
        <v/>
      </c>
    </row>
    <row r="29">
      <c r="A29" s="199" t="n">
        <v>45696</v>
      </c>
      <c r="B29" s="200" t="n">
        <v>0.6041666666666666</v>
      </c>
      <c r="C29" s="63" t="n">
        <v>13</v>
      </c>
      <c r="D29" s="63" t="inlineStr">
        <is>
          <t>Slips, Trips and falls</t>
        </is>
      </c>
      <c r="E29" s="63" t="inlineStr">
        <is>
          <t xml:space="preserve">Activity </t>
        </is>
      </c>
      <c r="F29" s="63" t="inlineStr">
        <is>
          <t xml:space="preserve">11- A side </t>
        </is>
      </c>
      <c r="G29" s="63" t="inlineStr">
        <is>
          <t>LFA</t>
        </is>
      </c>
      <c r="H29" s="63" t="inlineStr">
        <is>
          <t>Knee</t>
        </is>
      </c>
      <c r="I29" s="63" t="inlineStr">
        <is>
          <t>P3</t>
        </is>
      </c>
      <c r="J29" s="63" t="inlineStr">
        <is>
          <t>NO</t>
        </is>
      </c>
      <c r="K29" s="63">
        <f>TEXT(A29,"MMM-YY")</f>
        <v/>
      </c>
      <c r="L29" s="63">
        <f>HOUR(B29)</f>
        <v/>
      </c>
      <c r="M29" s="63">
        <f>IF(L29&lt;6,"Night",IF(L29&lt;12,"Morning",IF(L29&lt;18,"Afternoon","Evening")))</f>
        <v/>
      </c>
      <c r="N29" s="63">
        <f>TEXT(A29,"DDD")</f>
        <v/>
      </c>
      <c r="O29" s="63">
        <f>WEEKNUM(A29)</f>
        <v/>
      </c>
      <c r="P29" s="63">
        <f>INDEX({"Q1","Q1","Q1","Q2","Q2","Q2","Q3","Q3","Q3","Q4","Q4","Q4"},MONTH(A29))</f>
        <v/>
      </c>
    </row>
    <row r="30">
      <c r="A30" s="199" t="n">
        <v>45697</v>
      </c>
      <c r="B30" s="200" t="n">
        <v>0.5</v>
      </c>
      <c r="C30" s="63" t="n">
        <v>14</v>
      </c>
      <c r="D30" s="63" t="inlineStr">
        <is>
          <t>Medical</t>
        </is>
      </c>
      <c r="E30" s="63" t="inlineStr">
        <is>
          <t xml:space="preserve">Activity </t>
        </is>
      </c>
      <c r="F30" s="63" t="inlineStr">
        <is>
          <t xml:space="preserve">11- A side </t>
        </is>
      </c>
      <c r="G30" s="63" t="inlineStr">
        <is>
          <t>Open Play</t>
        </is>
      </c>
      <c r="H30" s="63" t="inlineStr">
        <is>
          <t>Knee</t>
        </is>
      </c>
      <c r="I30" s="63" t="inlineStr">
        <is>
          <t>P3</t>
        </is>
      </c>
      <c r="J30" s="63" t="inlineStr">
        <is>
          <t>NO</t>
        </is>
      </c>
      <c r="K30" s="63">
        <f>TEXT(A30,"MMM-YY")</f>
        <v/>
      </c>
      <c r="L30" s="63">
        <f>HOUR(B30)</f>
        <v/>
      </c>
      <c r="M30" s="63">
        <f>IF(L30&lt;6,"Night",IF(L30&lt;12,"Morning",IF(L30&lt;18,"Afternoon","Evening")))</f>
        <v/>
      </c>
      <c r="N30" s="63">
        <f>TEXT(A30,"DDD")</f>
        <v/>
      </c>
      <c r="O30" s="63">
        <f>WEEKNUM(A30)</f>
        <v/>
      </c>
      <c r="P30" s="63">
        <f>INDEX({"Q1","Q1","Q1","Q2","Q2","Q2","Q3","Q3","Q3","Q4","Q4","Q4"},MONTH(A30))</f>
        <v/>
      </c>
    </row>
    <row r="31">
      <c r="A31" s="199" t="n">
        <v>45702</v>
      </c>
      <c r="B31" s="200" t="n">
        <v>0.6465277777777778</v>
      </c>
      <c r="C31" s="63" t="n">
        <v>16</v>
      </c>
      <c r="D31" s="63" t="inlineStr">
        <is>
          <t>Slips, Trips and falls</t>
        </is>
      </c>
      <c r="E31" s="63" t="inlineStr">
        <is>
          <t xml:space="preserve">Activity </t>
        </is>
      </c>
      <c r="F31" s="63" t="inlineStr">
        <is>
          <t xml:space="preserve">5 A side </t>
        </is>
      </c>
      <c r="G31" s="63" t="inlineStr">
        <is>
          <t>Open Play</t>
        </is>
      </c>
      <c r="H31" s="63" t="inlineStr">
        <is>
          <t>Knee</t>
        </is>
      </c>
      <c r="I31" s="63" t="inlineStr">
        <is>
          <t>P3</t>
        </is>
      </c>
      <c r="J31" s="63" t="inlineStr">
        <is>
          <t>NO</t>
        </is>
      </c>
      <c r="K31" s="63">
        <f>TEXT(A31,"MMM-YY")</f>
        <v/>
      </c>
      <c r="L31" s="63">
        <f>HOUR(B31)</f>
        <v/>
      </c>
      <c r="M31" s="63">
        <f>IF(L31&lt;6,"Night",IF(L31&lt;12,"Morning",IF(L31&lt;18,"Afternoon","Evening")))</f>
        <v/>
      </c>
      <c r="N31" s="63">
        <f>TEXT(A31,"DDD")</f>
        <v/>
      </c>
      <c r="O31" s="63">
        <f>WEEKNUM(A31)</f>
        <v/>
      </c>
      <c r="P31" s="63">
        <f>INDEX({"Q1","Q1","Q1","Q2","Q2","Q2","Q3","Q3","Q3","Q4","Q4","Q4"},MONTH(A31))</f>
        <v/>
      </c>
    </row>
    <row r="32">
      <c r="A32" s="199" t="n">
        <v>45710</v>
      </c>
      <c r="B32" s="200" t="n">
        <v>0.4340277777777778</v>
      </c>
      <c r="C32" s="63" t="n">
        <v>33</v>
      </c>
      <c r="D32" s="63" t="inlineStr">
        <is>
          <t>Slips, Trips and falls</t>
        </is>
      </c>
      <c r="E32" s="63" t="inlineStr">
        <is>
          <t xml:space="preserve">Activity </t>
        </is>
      </c>
      <c r="F32" s="63" t="inlineStr">
        <is>
          <t xml:space="preserve">5 A side </t>
        </is>
      </c>
      <c r="G32" s="63" t="inlineStr">
        <is>
          <t>Open Play</t>
        </is>
      </c>
      <c r="H32" s="63" t="inlineStr">
        <is>
          <t>Knee</t>
        </is>
      </c>
      <c r="I32" s="63" t="inlineStr">
        <is>
          <t>P3</t>
        </is>
      </c>
      <c r="J32" s="63" t="inlineStr">
        <is>
          <t>NO</t>
        </is>
      </c>
      <c r="K32" s="63">
        <f>TEXT(A32,"MMM-YY")</f>
        <v/>
      </c>
      <c r="L32" s="63">
        <f>HOUR(B32)</f>
        <v/>
      </c>
      <c r="M32" s="63">
        <f>IF(L32&lt;6,"Night",IF(L32&lt;12,"Morning",IF(L32&lt;18,"Afternoon","Evening")))</f>
        <v/>
      </c>
      <c r="N32" s="63">
        <f>TEXT(A32,"DDD")</f>
        <v/>
      </c>
      <c r="O32" s="63">
        <f>WEEKNUM(A32)</f>
        <v/>
      </c>
      <c r="P32" s="63">
        <f>INDEX({"Q1","Q1","Q1","Q2","Q2","Q2","Q3","Q3","Q3","Q4","Q4","Q4"},MONTH(A32))</f>
        <v/>
      </c>
    </row>
    <row r="33">
      <c r="A33" s="199" t="n">
        <v>45710</v>
      </c>
      <c r="B33" s="200" t="n">
        <v>0.4652777777777778</v>
      </c>
      <c r="C33" s="63" t="n">
        <v>28</v>
      </c>
      <c r="D33" s="63" t="inlineStr">
        <is>
          <t>Slips, Trips and falls</t>
        </is>
      </c>
      <c r="E33" s="63" t="inlineStr">
        <is>
          <t xml:space="preserve">Activity </t>
        </is>
      </c>
      <c r="F33" s="63" t="inlineStr">
        <is>
          <t>Skate Park</t>
        </is>
      </c>
      <c r="G33" s="63" t="inlineStr">
        <is>
          <t>Open Play</t>
        </is>
      </c>
      <c r="H33" s="63" t="inlineStr">
        <is>
          <t>Facial Injury</t>
        </is>
      </c>
      <c r="I33" s="63" t="inlineStr">
        <is>
          <t>P3</t>
        </is>
      </c>
      <c r="J33" s="63" t="inlineStr">
        <is>
          <t>NO</t>
        </is>
      </c>
      <c r="K33" s="63">
        <f>TEXT(A33,"MMM-YY")</f>
        <v/>
      </c>
      <c r="L33" s="63">
        <f>HOUR(B33)</f>
        <v/>
      </c>
      <c r="M33" s="63">
        <f>IF(L33&lt;6,"Night",IF(L33&lt;12,"Morning",IF(L33&lt;18,"Afternoon","Evening")))</f>
        <v/>
      </c>
      <c r="N33" s="63">
        <f>TEXT(A33,"DDD")</f>
        <v/>
      </c>
      <c r="O33" s="63">
        <f>WEEKNUM(A33)</f>
        <v/>
      </c>
      <c r="P33" s="63">
        <f>INDEX({"Q1","Q1","Q1","Q2","Q2","Q2","Q3","Q3","Q3","Q4","Q4","Q4"},MONTH(A33))</f>
        <v/>
      </c>
    </row>
    <row r="34">
      <c r="A34" s="199" t="n">
        <v>45713</v>
      </c>
      <c r="B34" s="200" t="n">
        <v>0.5305555555555556</v>
      </c>
      <c r="C34" s="63" t="n">
        <v>23</v>
      </c>
      <c r="D34" s="63" t="inlineStr">
        <is>
          <t>Slips, Trips and falls</t>
        </is>
      </c>
      <c r="E34" s="63" t="inlineStr">
        <is>
          <t xml:space="preserve">Activity </t>
        </is>
      </c>
      <c r="F34" s="63" t="inlineStr">
        <is>
          <t xml:space="preserve">11- A side </t>
        </is>
      </c>
      <c r="G34" s="63" t="inlineStr">
        <is>
          <t>Open Play</t>
        </is>
      </c>
      <c r="H34" s="63" t="inlineStr">
        <is>
          <t>Ankle</t>
        </is>
      </c>
      <c r="I34" s="63" t="inlineStr">
        <is>
          <t>P3</t>
        </is>
      </c>
      <c r="J34" s="63" t="inlineStr">
        <is>
          <t>NO</t>
        </is>
      </c>
      <c r="K34" s="63">
        <f>TEXT(A34,"MMM-YY")</f>
        <v/>
      </c>
      <c r="L34" s="63">
        <f>HOUR(B34)</f>
        <v/>
      </c>
      <c r="M34" s="63">
        <f>IF(L34&lt;6,"Night",IF(L34&lt;12,"Morning",IF(L34&lt;18,"Afternoon","Evening")))</f>
        <v/>
      </c>
      <c r="N34" s="63">
        <f>TEXT(A34,"DDD")</f>
        <v/>
      </c>
      <c r="O34" s="63">
        <f>WEEKNUM(A34)</f>
        <v/>
      </c>
      <c r="P34" s="63">
        <f>INDEX({"Q1","Q1","Q1","Q2","Q2","Q2","Q3","Q3","Q3","Q4","Q4","Q4"},MONTH(A34))</f>
        <v/>
      </c>
    </row>
    <row r="35">
      <c r="A35" s="199" t="n">
        <v>45713</v>
      </c>
      <c r="B35" s="200" t="n">
        <v>0.6666666666666666</v>
      </c>
      <c r="C35" s="63" t="n">
        <v>11</v>
      </c>
      <c r="D35" s="63" t="inlineStr">
        <is>
          <t>Slips, Trips and falls</t>
        </is>
      </c>
      <c r="E35" s="63" t="inlineStr">
        <is>
          <t xml:space="preserve">Activity </t>
        </is>
      </c>
      <c r="F35" s="63" t="inlineStr">
        <is>
          <t>Athletics track</t>
        </is>
      </c>
      <c r="G35" s="63" t="inlineStr">
        <is>
          <t>Running with the pack</t>
        </is>
      </c>
      <c r="H35" s="63" t="inlineStr">
        <is>
          <t>Shoulder</t>
        </is>
      </c>
      <c r="I35" s="63" t="inlineStr">
        <is>
          <t>P3</t>
        </is>
      </c>
      <c r="J35" s="63" t="inlineStr">
        <is>
          <t>NO</t>
        </is>
      </c>
      <c r="K35" s="63">
        <f>TEXT(A35,"MMM-YY")</f>
        <v/>
      </c>
      <c r="L35" s="63">
        <f>HOUR(B35)</f>
        <v/>
      </c>
      <c r="M35" s="63">
        <f>IF(L35&lt;6,"Night",IF(L35&lt;12,"Morning",IF(L35&lt;18,"Afternoon","Evening")))</f>
        <v/>
      </c>
      <c r="N35" s="63">
        <f>TEXT(A35,"DDD")</f>
        <v/>
      </c>
      <c r="O35" s="63">
        <f>WEEKNUM(A35)</f>
        <v/>
      </c>
      <c r="P35" s="63">
        <f>INDEX({"Q1","Q1","Q1","Q2","Q2","Q2","Q3","Q3","Q3","Q4","Q4","Q4"},MONTH(A35))</f>
        <v/>
      </c>
    </row>
    <row r="36">
      <c r="A36" s="199" t="n">
        <v>45714</v>
      </c>
      <c r="B36" s="200" t="n">
        <v>0.5256944444444445</v>
      </c>
      <c r="C36" s="63" t="n">
        <v>24</v>
      </c>
      <c r="D36" s="63" t="inlineStr">
        <is>
          <t>Falls from Height</t>
        </is>
      </c>
      <c r="E36" s="63" t="inlineStr">
        <is>
          <t xml:space="preserve">Activity </t>
        </is>
      </c>
      <c r="F36" s="63" t="inlineStr">
        <is>
          <t xml:space="preserve">5 A side </t>
        </is>
      </c>
      <c r="G36" s="63" t="inlineStr">
        <is>
          <t>Open Play</t>
        </is>
      </c>
      <c r="H36" s="63" t="inlineStr">
        <is>
          <t>Knee</t>
        </is>
      </c>
      <c r="I36" s="63" t="inlineStr">
        <is>
          <t>P3</t>
        </is>
      </c>
      <c r="J36" s="63" t="inlineStr">
        <is>
          <t>NO</t>
        </is>
      </c>
      <c r="K36" s="63">
        <f>TEXT(A36,"MMM-YY")</f>
        <v/>
      </c>
      <c r="L36" s="63">
        <f>HOUR(B36)</f>
        <v/>
      </c>
      <c r="M36" s="63">
        <f>IF(L36&lt;6,"Night",IF(L36&lt;12,"Morning",IF(L36&lt;18,"Afternoon","Evening")))</f>
        <v/>
      </c>
      <c r="N36" s="63">
        <f>TEXT(A36,"DDD")</f>
        <v/>
      </c>
      <c r="O36" s="63">
        <f>WEEKNUM(A36)</f>
        <v/>
      </c>
      <c r="P36" s="63">
        <f>INDEX({"Q1","Q1","Q1","Q2","Q2","Q2","Q3","Q3","Q3","Q4","Q4","Q4"},MONTH(A36))</f>
        <v/>
      </c>
    </row>
    <row r="37">
      <c r="A37" s="199" t="n">
        <v>45714</v>
      </c>
      <c r="B37" s="200" t="n">
        <v>0.7194444444444444</v>
      </c>
      <c r="C37" s="63" t="n">
        <v>18</v>
      </c>
      <c r="D37" s="63" t="inlineStr">
        <is>
          <t>Slips, Trips and falls</t>
        </is>
      </c>
      <c r="E37" s="63" t="inlineStr">
        <is>
          <t xml:space="preserve">Activity </t>
        </is>
      </c>
      <c r="F37" s="63" t="inlineStr">
        <is>
          <t xml:space="preserve">11- A side </t>
        </is>
      </c>
      <c r="G37" s="63" t="inlineStr">
        <is>
          <t>Open Play</t>
        </is>
      </c>
      <c r="H37" s="63" t="inlineStr">
        <is>
          <t>Ankle</t>
        </is>
      </c>
      <c r="I37" s="63" t="inlineStr">
        <is>
          <t>P3</t>
        </is>
      </c>
      <c r="J37" s="63" t="inlineStr">
        <is>
          <t>NO</t>
        </is>
      </c>
      <c r="K37" s="63">
        <f>TEXT(A37,"MMM-YY")</f>
        <v/>
      </c>
      <c r="L37" s="63">
        <f>HOUR(B37)</f>
        <v/>
      </c>
      <c r="M37" s="63">
        <f>IF(L37&lt;6,"Night",IF(L37&lt;12,"Morning",IF(L37&lt;18,"Afternoon","Evening")))</f>
        <v/>
      </c>
      <c r="N37" s="63">
        <f>TEXT(A37,"DDD")</f>
        <v/>
      </c>
      <c r="O37" s="63">
        <f>WEEKNUM(A37)</f>
        <v/>
      </c>
      <c r="P37" s="63">
        <f>INDEX({"Q1","Q1","Q1","Q2","Q2","Q2","Q3","Q3","Q3","Q4","Q4","Q4"},MONTH(A37))</f>
        <v/>
      </c>
    </row>
    <row r="38">
      <c r="A38" s="199" t="n">
        <v>45717</v>
      </c>
      <c r="B38" s="200" t="n">
        <v>0.425</v>
      </c>
      <c r="C38" s="63" t="n">
        <v>12</v>
      </c>
      <c r="D38" s="63" t="inlineStr">
        <is>
          <t>Slips, Trips and falls</t>
        </is>
      </c>
      <c r="E38" s="63" t="inlineStr">
        <is>
          <t>Activity</t>
        </is>
      </c>
      <c r="F38" s="63" t="inlineStr">
        <is>
          <t>Skate Park</t>
        </is>
      </c>
      <c r="G38" s="63" t="inlineStr">
        <is>
          <t>Open Play</t>
        </is>
      </c>
      <c r="H38" s="63" t="inlineStr">
        <is>
          <t>Ankle</t>
        </is>
      </c>
      <c r="I38" s="63" t="n">
        <v>2</v>
      </c>
      <c r="J38" s="63" t="inlineStr">
        <is>
          <t>YES</t>
        </is>
      </c>
      <c r="K38" s="63">
        <f>TEXT(A38,"MMM-YY")</f>
        <v/>
      </c>
      <c r="L38" s="63">
        <f>HOUR(B38)</f>
        <v/>
      </c>
      <c r="M38" s="63">
        <f>IF(L38&lt;6,"Night",IF(L38&lt;12,"Morning",IF(L38&lt;18,"Afternoon","Evening")))</f>
        <v/>
      </c>
      <c r="N38" s="63">
        <f>TEXT(A38,"DDD")</f>
        <v/>
      </c>
      <c r="O38" s="63">
        <f>WEEKNUM(A38)</f>
        <v/>
      </c>
      <c r="P38" s="63">
        <f>INDEX({"Q1","Q1","Q1","Q2","Q2","Q2","Q3","Q3","Q3","Q4","Q4","Q4"},MONTH(A38))</f>
        <v/>
      </c>
    </row>
    <row r="39">
      <c r="A39" s="199" t="n">
        <v>45719</v>
      </c>
      <c r="B39" s="200" t="n">
        <v>0.4770833333333334</v>
      </c>
      <c r="C39" s="63" t="n">
        <v>17</v>
      </c>
      <c r="D39" s="63" t="inlineStr">
        <is>
          <t>Medical</t>
        </is>
      </c>
      <c r="E39" s="63" t="inlineStr">
        <is>
          <t>Activity</t>
        </is>
      </c>
      <c r="F39" s="63" t="inlineStr">
        <is>
          <t>11- A side</t>
        </is>
      </c>
      <c r="G39" s="63" t="inlineStr">
        <is>
          <t>Training</t>
        </is>
      </c>
      <c r="H39" s="63" t="inlineStr">
        <is>
          <t>Medical</t>
        </is>
      </c>
      <c r="I39" s="63" t="n">
        <v>3</v>
      </c>
      <c r="J39" s="63" t="inlineStr">
        <is>
          <t>NO</t>
        </is>
      </c>
      <c r="K39" s="63">
        <f>TEXT(A39,"MMM-YY")</f>
        <v/>
      </c>
      <c r="L39" s="63">
        <f>HOUR(B39)</f>
        <v/>
      </c>
      <c r="M39" s="63">
        <f>IF(L39&lt;6,"Night",IF(L39&lt;12,"Morning",IF(L39&lt;18,"Afternoon","Evening")))</f>
        <v/>
      </c>
      <c r="N39" s="63">
        <f>TEXT(A39,"DDD")</f>
        <v/>
      </c>
      <c r="O39" s="63">
        <f>WEEKNUM(A39)</f>
        <v/>
      </c>
      <c r="P39" s="63">
        <f>INDEX({"Q1","Q1","Q1","Q2","Q2","Q2","Q3","Q3","Q3","Q4","Q4","Q4"},MONTH(A39))</f>
        <v/>
      </c>
    </row>
    <row r="40">
      <c r="A40" s="199" t="n">
        <v>45721</v>
      </c>
      <c r="B40" s="200" t="n">
        <v>0.4680555555555556</v>
      </c>
      <c r="C40" s="63" t="n">
        <v>27</v>
      </c>
      <c r="D40" s="63" t="inlineStr">
        <is>
          <t>Player-to-Player</t>
        </is>
      </c>
      <c r="E40" s="63" t="inlineStr">
        <is>
          <t>Activity</t>
        </is>
      </c>
      <c r="F40" s="63" t="inlineStr">
        <is>
          <t>11- A side</t>
        </is>
      </c>
      <c r="G40" s="63" t="inlineStr">
        <is>
          <t>Morning Show</t>
        </is>
      </c>
      <c r="H40" s="63" t="inlineStr">
        <is>
          <t>Facial Injury</t>
        </is>
      </c>
      <c r="I40" s="63" t="n">
        <v>3</v>
      </c>
      <c r="J40" s="63" t="inlineStr">
        <is>
          <t>NO</t>
        </is>
      </c>
      <c r="K40" s="63">
        <f>TEXT(A40,"MMM-YY")</f>
        <v/>
      </c>
      <c r="L40" s="63">
        <f>HOUR(B40)</f>
        <v/>
      </c>
      <c r="M40" s="63">
        <f>IF(L40&lt;6,"Night",IF(L40&lt;12,"Morning",IF(L40&lt;18,"Afternoon","Evening")))</f>
        <v/>
      </c>
      <c r="N40" s="63">
        <f>TEXT(A40,"DDD")</f>
        <v/>
      </c>
      <c r="O40" s="63">
        <f>WEEKNUM(A40)</f>
        <v/>
      </c>
      <c r="P40" s="63">
        <f>INDEX({"Q1","Q1","Q1","Q2","Q2","Q2","Q3","Q3","Q3","Q4","Q4","Q4"},MONTH(A40))</f>
        <v/>
      </c>
    </row>
    <row r="41">
      <c r="A41" s="199" t="n">
        <v>45721</v>
      </c>
      <c r="B41" s="200" t="n">
        <v>0.7236111111111111</v>
      </c>
      <c r="C41" s="63" t="n">
        <v>18</v>
      </c>
      <c r="D41" s="63" t="inlineStr">
        <is>
          <t>Player-to-Object</t>
        </is>
      </c>
      <c r="E41" s="63" t="inlineStr">
        <is>
          <t>Activity</t>
        </is>
      </c>
      <c r="F41" s="63" t="inlineStr">
        <is>
          <t>5 A side</t>
        </is>
      </c>
      <c r="G41" s="63" t="inlineStr">
        <is>
          <t>Open Play</t>
        </is>
      </c>
      <c r="H41" s="63" t="inlineStr">
        <is>
          <t>Facial Injury</t>
        </is>
      </c>
      <c r="I41" s="63" t="n">
        <v>3</v>
      </c>
      <c r="J41" s="63" t="inlineStr">
        <is>
          <t>NO</t>
        </is>
      </c>
      <c r="K41" s="63">
        <f>TEXT(A41,"MMM-YY")</f>
        <v/>
      </c>
      <c r="L41" s="63">
        <f>HOUR(B41)</f>
        <v/>
      </c>
      <c r="M41" s="63">
        <f>IF(L41&lt;6,"Night",IF(L41&lt;12,"Morning",IF(L41&lt;18,"Afternoon","Evening")))</f>
        <v/>
      </c>
      <c r="N41" s="63">
        <f>TEXT(A41,"DDD")</f>
        <v/>
      </c>
      <c r="O41" s="63">
        <f>WEEKNUM(A41)</f>
        <v/>
      </c>
      <c r="P41" s="63">
        <f>INDEX({"Q1","Q1","Q1","Q2","Q2","Q2","Q3","Q3","Q3","Q4","Q4","Q4"},MONTH(A41))</f>
        <v/>
      </c>
    </row>
    <row r="42">
      <c r="A42" s="199" t="n">
        <v>45721</v>
      </c>
      <c r="B42" s="200" t="n">
        <v>0.7388888888888889</v>
      </c>
      <c r="C42" s="63" t="n">
        <v>13</v>
      </c>
      <c r="D42" s="63" t="inlineStr">
        <is>
          <t>Player-to-Player</t>
        </is>
      </c>
      <c r="E42" s="63" t="inlineStr">
        <is>
          <t>Activity</t>
        </is>
      </c>
      <c r="F42" s="63" t="inlineStr">
        <is>
          <t>11- A side</t>
        </is>
      </c>
      <c r="G42" s="63" t="inlineStr">
        <is>
          <t>Training</t>
        </is>
      </c>
      <c r="H42" s="63" t="inlineStr">
        <is>
          <t>Facial Injury</t>
        </is>
      </c>
      <c r="I42" s="63" t="n">
        <v>3</v>
      </c>
      <c r="J42" s="63" t="inlineStr">
        <is>
          <t>NO</t>
        </is>
      </c>
      <c r="K42" s="63">
        <f>TEXT(A42,"MMM-YY")</f>
        <v/>
      </c>
      <c r="L42" s="63">
        <f>HOUR(B42)</f>
        <v/>
      </c>
      <c r="M42" s="63">
        <f>IF(L42&lt;6,"Night",IF(L42&lt;12,"Morning",IF(L42&lt;18,"Afternoon","Evening")))</f>
        <v/>
      </c>
      <c r="N42" s="63">
        <f>TEXT(A42,"DDD")</f>
        <v/>
      </c>
      <c r="O42" s="63">
        <f>WEEKNUM(A42)</f>
        <v/>
      </c>
      <c r="P42" s="63">
        <f>INDEX({"Q1","Q1","Q1","Q2","Q2","Q2","Q3","Q3","Q3","Q4","Q4","Q4"},MONTH(A42))</f>
        <v/>
      </c>
    </row>
    <row r="43">
      <c r="A43" s="199" t="n">
        <v>45722</v>
      </c>
      <c r="B43" s="200" t="n">
        <v>0.4972222222222222</v>
      </c>
      <c r="C43" s="63" t="n">
        <v>25</v>
      </c>
      <c r="D43" s="63" t="inlineStr">
        <is>
          <t>Player-to-Player</t>
        </is>
      </c>
      <c r="E43" s="63" t="inlineStr">
        <is>
          <t>Activity</t>
        </is>
      </c>
      <c r="F43" s="63" t="inlineStr">
        <is>
          <t>11- A side</t>
        </is>
      </c>
      <c r="G43" s="63" t="inlineStr">
        <is>
          <t>Morning Show</t>
        </is>
      </c>
      <c r="H43" s="63" t="inlineStr">
        <is>
          <t>Knee</t>
        </is>
      </c>
      <c r="I43" s="63" t="n">
        <v>3</v>
      </c>
      <c r="J43" s="63" t="inlineStr">
        <is>
          <t>NO</t>
        </is>
      </c>
      <c r="K43" s="63">
        <f>TEXT(A43,"MMM-YY")</f>
        <v/>
      </c>
      <c r="L43" s="63">
        <f>HOUR(B43)</f>
        <v/>
      </c>
      <c r="M43" s="63">
        <f>IF(L43&lt;6,"Night",IF(L43&lt;12,"Morning",IF(L43&lt;18,"Afternoon","Evening")))</f>
        <v/>
      </c>
      <c r="N43" s="63">
        <f>TEXT(A43,"DDD")</f>
        <v/>
      </c>
      <c r="O43" s="63">
        <f>WEEKNUM(A43)</f>
        <v/>
      </c>
      <c r="P43" s="63">
        <f>INDEX({"Q1","Q1","Q1","Q2","Q2","Q2","Q3","Q3","Q3","Q4","Q4","Q4"},MONTH(A43))</f>
        <v/>
      </c>
    </row>
    <row r="44">
      <c r="A44" s="199" t="n">
        <v>45723</v>
      </c>
      <c r="B44" s="200" t="n">
        <v>0.6958333333333333</v>
      </c>
      <c r="C44" s="63" t="n">
        <v>21</v>
      </c>
      <c r="D44" s="63" t="inlineStr">
        <is>
          <t>Slips, Trips and falls</t>
        </is>
      </c>
      <c r="E44" s="63" t="inlineStr">
        <is>
          <t>Activity</t>
        </is>
      </c>
      <c r="F44" s="63" t="inlineStr">
        <is>
          <t>Basketball</t>
        </is>
      </c>
      <c r="G44" s="63" t="inlineStr">
        <is>
          <t>Open Play</t>
        </is>
      </c>
      <c r="H44" s="63" t="inlineStr">
        <is>
          <t>Ankle</t>
        </is>
      </c>
      <c r="I44" s="63" t="n">
        <v>3</v>
      </c>
      <c r="J44" s="63" t="inlineStr">
        <is>
          <t>NO</t>
        </is>
      </c>
      <c r="K44" s="63">
        <f>TEXT(A44,"MMM-YY")</f>
        <v/>
      </c>
      <c r="L44" s="63">
        <f>HOUR(B44)</f>
        <v/>
      </c>
      <c r="M44" s="63">
        <f>IF(L44&lt;6,"Night",IF(L44&lt;12,"Morning",IF(L44&lt;18,"Afternoon","Evening")))</f>
        <v/>
      </c>
      <c r="N44" s="63">
        <f>TEXT(A44,"DDD")</f>
        <v/>
      </c>
      <c r="O44" s="63">
        <f>WEEKNUM(A44)</f>
        <v/>
      </c>
      <c r="P44" s="63">
        <f>INDEX({"Q1","Q1","Q1","Q2","Q2","Q2","Q3","Q3","Q3","Q4","Q4","Q4"},MONTH(A44))</f>
        <v/>
      </c>
    </row>
    <row r="45">
      <c r="A45" s="199" t="n">
        <v>45726</v>
      </c>
      <c r="B45" s="200" t="n">
        <v>0.4645833333333333</v>
      </c>
      <c r="C45" s="63" t="n">
        <v>22</v>
      </c>
      <c r="D45" s="63" t="inlineStr">
        <is>
          <t>Medical</t>
        </is>
      </c>
      <c r="E45" s="63" t="inlineStr">
        <is>
          <t>Activity</t>
        </is>
      </c>
      <c r="F45" s="63" t="inlineStr">
        <is>
          <t>Outdoor gym</t>
        </is>
      </c>
      <c r="G45" s="63" t="inlineStr">
        <is>
          <t>Open Play</t>
        </is>
      </c>
      <c r="H45" s="63" t="inlineStr">
        <is>
          <t>Medical</t>
        </is>
      </c>
      <c r="I45" s="63" t="n">
        <v>3</v>
      </c>
      <c r="J45" s="63" t="inlineStr">
        <is>
          <t>NO</t>
        </is>
      </c>
      <c r="K45" s="63">
        <f>TEXT(A45,"MMM-YY")</f>
        <v/>
      </c>
      <c r="L45" s="63">
        <f>HOUR(B45)</f>
        <v/>
      </c>
      <c r="M45" s="63">
        <f>IF(L45&lt;6,"Night",IF(L45&lt;12,"Morning",IF(L45&lt;18,"Afternoon","Evening")))</f>
        <v/>
      </c>
      <c r="N45" s="63">
        <f>TEXT(A45,"DDD")</f>
        <v/>
      </c>
      <c r="O45" s="63">
        <f>WEEKNUM(A45)</f>
        <v/>
      </c>
      <c r="P45" s="63">
        <f>INDEX({"Q1","Q1","Q1","Q2","Q2","Q2","Q3","Q3","Q3","Q4","Q4","Q4"},MONTH(A45))</f>
        <v/>
      </c>
    </row>
    <row r="46">
      <c r="A46" s="199" t="n">
        <v>45731</v>
      </c>
      <c r="B46" s="200" t="n">
        <v>0.5</v>
      </c>
      <c r="C46" s="63" t="n">
        <v>18</v>
      </c>
      <c r="D46" s="63" t="inlineStr">
        <is>
          <t>Slips, Trips and falls</t>
        </is>
      </c>
      <c r="E46" s="63" t="inlineStr">
        <is>
          <t>Activity</t>
        </is>
      </c>
      <c r="F46" s="63" t="inlineStr">
        <is>
          <t>Basketball</t>
        </is>
      </c>
      <c r="G46" s="63" t="inlineStr">
        <is>
          <t>Open Play</t>
        </is>
      </c>
      <c r="H46" s="63" t="inlineStr">
        <is>
          <t>Wrist</t>
        </is>
      </c>
      <c r="I46" s="63" t="n">
        <v>3</v>
      </c>
      <c r="J46" s="63" t="inlineStr">
        <is>
          <t>NO</t>
        </is>
      </c>
      <c r="K46" s="63">
        <f>TEXT(A46,"MMM-YY")</f>
        <v/>
      </c>
      <c r="L46" s="63">
        <f>HOUR(B46)</f>
        <v/>
      </c>
      <c r="M46" s="63">
        <f>IF(L46&lt;6,"Night",IF(L46&lt;12,"Morning",IF(L46&lt;18,"Afternoon","Evening")))</f>
        <v/>
      </c>
      <c r="N46" s="63">
        <f>TEXT(A46,"DDD")</f>
        <v/>
      </c>
      <c r="O46" s="63">
        <f>WEEKNUM(A46)</f>
        <v/>
      </c>
      <c r="P46" s="63">
        <f>INDEX({"Q1","Q1","Q1","Q2","Q2","Q2","Q3","Q3","Q3","Q4","Q4","Q4"},MONTH(A46))</f>
        <v/>
      </c>
    </row>
    <row r="47">
      <c r="A47" s="199" t="n">
        <v>45738</v>
      </c>
      <c r="B47" s="200" t="n">
        <v>0.5</v>
      </c>
      <c r="C47" s="63" t="n">
        <v>16</v>
      </c>
      <c r="D47" s="63" t="inlineStr">
        <is>
          <t>Player-to-Player</t>
        </is>
      </c>
      <c r="E47" s="63" t="inlineStr">
        <is>
          <t>Activity</t>
        </is>
      </c>
      <c r="F47" s="63" t="inlineStr">
        <is>
          <t>11- A side</t>
        </is>
      </c>
      <c r="G47" s="63" t="inlineStr">
        <is>
          <t>LFA</t>
        </is>
      </c>
      <c r="H47" s="63" t="inlineStr">
        <is>
          <t>Foot</t>
        </is>
      </c>
      <c r="I47" s="63" t="n">
        <v>3</v>
      </c>
      <c r="J47" s="63" t="inlineStr">
        <is>
          <t>NO</t>
        </is>
      </c>
      <c r="K47" s="63">
        <f>TEXT(A47,"MMM-YY")</f>
        <v/>
      </c>
      <c r="L47" s="63">
        <f>HOUR(B47)</f>
        <v/>
      </c>
      <c r="M47" s="63">
        <f>IF(L47&lt;6,"Night",IF(L47&lt;12,"Morning",IF(L47&lt;18,"Afternoon","Evening")))</f>
        <v/>
      </c>
      <c r="N47" s="63">
        <f>TEXT(A47,"DDD")</f>
        <v/>
      </c>
      <c r="O47" s="63">
        <f>WEEKNUM(A47)</f>
        <v/>
      </c>
      <c r="P47" s="63">
        <f>INDEX({"Q1","Q1","Q1","Q2","Q2","Q2","Q3","Q3","Q3","Q4","Q4","Q4"},MONTH(A47))</f>
        <v/>
      </c>
    </row>
    <row r="48">
      <c r="A48" s="199" t="n">
        <v>45738</v>
      </c>
      <c r="B48" s="200" t="n">
        <v>0.6458333333333334</v>
      </c>
      <c r="C48" s="63" t="n">
        <v>17</v>
      </c>
      <c r="D48" s="63" t="inlineStr">
        <is>
          <t>Player-to-Player</t>
        </is>
      </c>
      <c r="E48" s="63" t="inlineStr">
        <is>
          <t>Activity</t>
        </is>
      </c>
      <c r="F48" s="63" t="inlineStr">
        <is>
          <t>11- A side</t>
        </is>
      </c>
      <c r="G48" s="63" t="inlineStr">
        <is>
          <t>LFA</t>
        </is>
      </c>
      <c r="H48" s="63" t="inlineStr">
        <is>
          <t>Hand</t>
        </is>
      </c>
      <c r="I48" s="63" t="n">
        <v>3</v>
      </c>
      <c r="J48" s="63" t="inlineStr">
        <is>
          <t>NO</t>
        </is>
      </c>
      <c r="K48" s="63">
        <f>TEXT(A48,"MMM-YY")</f>
        <v/>
      </c>
      <c r="L48" s="63">
        <f>HOUR(B48)</f>
        <v/>
      </c>
      <c r="M48" s="63">
        <f>IF(L48&lt;6,"Night",IF(L48&lt;12,"Morning",IF(L48&lt;18,"Afternoon","Evening")))</f>
        <v/>
      </c>
      <c r="N48" s="63">
        <f>TEXT(A48,"DDD")</f>
        <v/>
      </c>
      <c r="O48" s="63">
        <f>WEEKNUM(A48)</f>
        <v/>
      </c>
      <c r="P48" s="63">
        <f>INDEX({"Q1","Q1","Q1","Q2","Q2","Q2","Q3","Q3","Q3","Q4","Q4","Q4"},MONTH(A48))</f>
        <v/>
      </c>
    </row>
    <row r="49">
      <c r="A49" s="199" t="n">
        <v>45739</v>
      </c>
      <c r="B49" s="200" t="n">
        <v>0.4513888888888889</v>
      </c>
      <c r="C49" s="63" t="n">
        <v>22</v>
      </c>
      <c r="D49" s="63" t="inlineStr">
        <is>
          <t>Player-to-Player</t>
        </is>
      </c>
      <c r="E49" s="63" t="inlineStr">
        <is>
          <t>Activity</t>
        </is>
      </c>
      <c r="F49" s="63" t="inlineStr">
        <is>
          <t>11- A side</t>
        </is>
      </c>
      <c r="G49" s="63" t="inlineStr">
        <is>
          <t>LFA</t>
        </is>
      </c>
      <c r="H49" s="63" t="inlineStr">
        <is>
          <t>Head Injury</t>
        </is>
      </c>
      <c r="I49" s="63" t="n">
        <v>3</v>
      </c>
      <c r="J49" s="63" t="inlineStr">
        <is>
          <t>NO</t>
        </is>
      </c>
      <c r="K49" s="63">
        <f>TEXT(A49,"MMM-YY")</f>
        <v/>
      </c>
      <c r="L49" s="63">
        <f>HOUR(B49)</f>
        <v/>
      </c>
      <c r="M49" s="63">
        <f>IF(L49&lt;6,"Night",IF(L49&lt;12,"Morning",IF(L49&lt;18,"Afternoon","Evening")))</f>
        <v/>
      </c>
      <c r="N49" s="63">
        <f>TEXT(A49,"DDD")</f>
        <v/>
      </c>
      <c r="O49" s="63">
        <f>WEEKNUM(A49)</f>
        <v/>
      </c>
      <c r="P49" s="63">
        <f>INDEX({"Q1","Q1","Q1","Q2","Q2","Q2","Q3","Q3","Q3","Q4","Q4","Q4"},MONTH(A49))</f>
        <v/>
      </c>
    </row>
    <row r="50">
      <c r="A50" s="199" t="n">
        <v>45740</v>
      </c>
      <c r="B50" s="200" t="n">
        <v>0.5993055555555555</v>
      </c>
      <c r="C50" s="63" t="n">
        <v>14</v>
      </c>
      <c r="D50" s="63" t="inlineStr">
        <is>
          <t>Player-to-Object</t>
        </is>
      </c>
      <c r="E50" s="63" t="inlineStr">
        <is>
          <t>Activity</t>
        </is>
      </c>
      <c r="F50" s="63" t="inlineStr">
        <is>
          <t>Basketball</t>
        </is>
      </c>
      <c r="G50" s="63" t="inlineStr">
        <is>
          <t>Open Play</t>
        </is>
      </c>
      <c r="H50" s="63" t="inlineStr">
        <is>
          <t>Hand</t>
        </is>
      </c>
      <c r="I50" s="63" t="n">
        <v>3</v>
      </c>
      <c r="J50" s="63" t="inlineStr">
        <is>
          <t>NO</t>
        </is>
      </c>
      <c r="K50" s="63">
        <f>TEXT(A50,"MMM-YY")</f>
        <v/>
      </c>
      <c r="L50" s="63">
        <f>HOUR(B50)</f>
        <v/>
      </c>
      <c r="M50" s="63">
        <f>IF(L50&lt;6,"Night",IF(L50&lt;12,"Morning",IF(L50&lt;18,"Afternoon","Evening")))</f>
        <v/>
      </c>
      <c r="N50" s="63">
        <f>TEXT(A50,"DDD")</f>
        <v/>
      </c>
      <c r="O50" s="63">
        <f>WEEKNUM(A50)</f>
        <v/>
      </c>
      <c r="P50" s="63">
        <f>INDEX({"Q1","Q1","Q1","Q2","Q2","Q2","Q3","Q3","Q3","Q4","Q4","Q4"},MONTH(A50))</f>
        <v/>
      </c>
    </row>
    <row r="51">
      <c r="A51" s="199" t="n">
        <v>45740</v>
      </c>
      <c r="B51" s="200" t="n">
        <v>0.65625</v>
      </c>
      <c r="C51" s="63" t="n">
        <v>9</v>
      </c>
      <c r="D51" s="63" t="inlineStr">
        <is>
          <t>Falls from Height</t>
        </is>
      </c>
      <c r="E51" s="63" t="inlineStr">
        <is>
          <t>Activity</t>
        </is>
      </c>
      <c r="F51" s="63" t="inlineStr">
        <is>
          <t>Outdoor gym</t>
        </is>
      </c>
      <c r="G51" s="63" t="inlineStr">
        <is>
          <t>Afternoon Program</t>
        </is>
      </c>
      <c r="H51" s="63" t="inlineStr">
        <is>
          <t>Foot</t>
        </is>
      </c>
      <c r="I51" s="63" t="n">
        <v>2</v>
      </c>
      <c r="J51" s="63" t="inlineStr">
        <is>
          <t>NO</t>
        </is>
      </c>
      <c r="K51" s="63">
        <f>TEXT(A51,"MMM-YY")</f>
        <v/>
      </c>
      <c r="L51" s="63">
        <f>HOUR(B51)</f>
        <v/>
      </c>
      <c r="M51" s="63">
        <f>IF(L51&lt;6,"Night",IF(L51&lt;12,"Morning",IF(L51&lt;18,"Afternoon","Evening")))</f>
        <v/>
      </c>
      <c r="N51" s="63">
        <f>TEXT(A51,"DDD")</f>
        <v/>
      </c>
      <c r="O51" s="63">
        <f>WEEKNUM(A51)</f>
        <v/>
      </c>
      <c r="P51" s="63">
        <f>INDEX({"Q1","Q1","Q1","Q2","Q2","Q2","Q3","Q3","Q3","Q4","Q4","Q4"},MONTH(A51))</f>
        <v/>
      </c>
    </row>
    <row r="52">
      <c r="A52" s="199" t="n">
        <v>45746</v>
      </c>
      <c r="B52" s="200" t="n">
        <v>0.40625</v>
      </c>
      <c r="C52" s="63" t="n">
        <v>22</v>
      </c>
      <c r="D52" s="63" t="inlineStr">
        <is>
          <t>Player-to-Player</t>
        </is>
      </c>
      <c r="E52" s="63" t="inlineStr">
        <is>
          <t>Activity</t>
        </is>
      </c>
      <c r="F52" s="63" t="inlineStr">
        <is>
          <t>11- A side</t>
        </is>
      </c>
      <c r="G52" s="63" t="inlineStr">
        <is>
          <t>LFA</t>
        </is>
      </c>
      <c r="H52" s="63" t="inlineStr">
        <is>
          <t>Head Injury</t>
        </is>
      </c>
      <c r="I52" s="63" t="n">
        <v>3</v>
      </c>
      <c r="J52" s="63" t="inlineStr">
        <is>
          <t>NO</t>
        </is>
      </c>
      <c r="K52" s="63">
        <f>TEXT(A52,"MMM-YY")</f>
        <v/>
      </c>
      <c r="L52" s="63">
        <f>HOUR(B52)</f>
        <v/>
      </c>
      <c r="M52" s="63">
        <f>IF(L52&lt;6,"Night",IF(L52&lt;12,"Morning",IF(L52&lt;18,"Afternoon","Evening")))</f>
        <v/>
      </c>
      <c r="N52" s="63">
        <f>TEXT(A52,"DDD")</f>
        <v/>
      </c>
      <c r="O52" s="63">
        <f>WEEKNUM(A52)</f>
        <v/>
      </c>
      <c r="P52" s="63">
        <f>INDEX({"Q1","Q1","Q1","Q2","Q2","Q2","Q3","Q3","Q3","Q4","Q4","Q4"},MONTH(A52))</f>
        <v/>
      </c>
    </row>
    <row r="53">
      <c r="A53" s="199" t="n">
        <v>45746</v>
      </c>
      <c r="B53" s="200" t="n">
        <v>0.4513888888888889</v>
      </c>
      <c r="C53" s="63" t="n">
        <v>32</v>
      </c>
      <c r="D53" s="63" t="inlineStr">
        <is>
          <t>Slips, Trips and falls</t>
        </is>
      </c>
      <c r="E53" s="63" t="inlineStr">
        <is>
          <t>Activity</t>
        </is>
      </c>
      <c r="F53" s="63" t="inlineStr">
        <is>
          <t>11- A side</t>
        </is>
      </c>
      <c r="G53" s="63" t="inlineStr">
        <is>
          <t>LFA</t>
        </is>
      </c>
      <c r="H53" s="63" t="inlineStr">
        <is>
          <t>Knee</t>
        </is>
      </c>
      <c r="I53" s="63" t="n">
        <v>3</v>
      </c>
      <c r="J53" s="63" t="inlineStr">
        <is>
          <t>NO</t>
        </is>
      </c>
      <c r="K53" s="63">
        <f>TEXT(A53,"MMM-YY")</f>
        <v/>
      </c>
      <c r="L53" s="63">
        <f>HOUR(B53)</f>
        <v/>
      </c>
      <c r="M53" s="63">
        <f>IF(L53&lt;6,"Night",IF(L53&lt;12,"Morning",IF(L53&lt;18,"Afternoon","Evening")))</f>
        <v/>
      </c>
      <c r="N53" s="63">
        <f>TEXT(A53,"DDD")</f>
        <v/>
      </c>
      <c r="O53" s="63">
        <f>WEEKNUM(A53)</f>
        <v/>
      </c>
      <c r="P53" s="63">
        <f>INDEX({"Q1","Q1","Q1","Q2","Q2","Q2","Q3","Q3","Q3","Q4","Q4","Q4"},MONTH(A53))</f>
        <v/>
      </c>
    </row>
    <row r="54">
      <c r="A54" s="199" t="n">
        <v>45747</v>
      </c>
      <c r="B54" s="200" t="n">
        <v>0.54375</v>
      </c>
      <c r="C54" s="63" t="n">
        <v>11</v>
      </c>
      <c r="D54" s="63" t="inlineStr">
        <is>
          <t>Slips, Trips and falls</t>
        </is>
      </c>
      <c r="E54" s="63" t="inlineStr">
        <is>
          <t>Activity</t>
        </is>
      </c>
      <c r="F54" s="63" t="inlineStr">
        <is>
          <t>Skate Park</t>
        </is>
      </c>
      <c r="G54" s="63" t="inlineStr">
        <is>
          <t>Open Play</t>
        </is>
      </c>
      <c r="H54" s="63" t="inlineStr">
        <is>
          <t>Knee</t>
        </is>
      </c>
      <c r="I54" s="63" t="n">
        <v>3</v>
      </c>
      <c r="J54" s="63" t="inlineStr">
        <is>
          <t>NO</t>
        </is>
      </c>
      <c r="K54" s="63">
        <f>TEXT(A54,"MMM-YY")</f>
        <v/>
      </c>
      <c r="L54" s="63">
        <f>HOUR(B54)</f>
        <v/>
      </c>
      <c r="M54" s="63">
        <f>IF(L54&lt;6,"Night",IF(L54&lt;12,"Morning",IF(L54&lt;18,"Afternoon","Evening")))</f>
        <v/>
      </c>
      <c r="N54" s="63">
        <f>TEXT(A54,"DDD")</f>
        <v/>
      </c>
      <c r="O54" s="63">
        <f>WEEKNUM(A54)</f>
        <v/>
      </c>
      <c r="P54" s="63">
        <f>INDEX({"Q1","Q1","Q1","Q2","Q2","Q2","Q3","Q3","Q3","Q4","Q4","Q4"},MONTH(A54))</f>
        <v/>
      </c>
    </row>
    <row r="55">
      <c r="A55" s="199" t="n">
        <v>45747</v>
      </c>
      <c r="B55" s="200" t="n">
        <v>0.5576388888888889</v>
      </c>
      <c r="C55" s="63" t="n">
        <v>20</v>
      </c>
      <c r="D55" s="63" t="inlineStr">
        <is>
          <t>Struck by Equipment</t>
        </is>
      </c>
      <c r="E55" s="63" t="inlineStr">
        <is>
          <t>Activity</t>
        </is>
      </c>
      <c r="F55" s="63" t="inlineStr">
        <is>
          <t>Skate Park</t>
        </is>
      </c>
      <c r="G55" s="63" t="inlineStr">
        <is>
          <t>Open Play</t>
        </is>
      </c>
      <c r="H55" s="63" t="inlineStr">
        <is>
          <t>Arm</t>
        </is>
      </c>
      <c r="I55" s="63" t="n">
        <v>3</v>
      </c>
      <c r="J55" s="63" t="inlineStr">
        <is>
          <t>NO</t>
        </is>
      </c>
      <c r="K55" s="63">
        <f>TEXT(A55,"MMM-YY")</f>
        <v/>
      </c>
      <c r="L55" s="63">
        <f>HOUR(B55)</f>
        <v/>
      </c>
      <c r="M55" s="63">
        <f>IF(L55&lt;6,"Night",IF(L55&lt;12,"Morning",IF(L55&lt;18,"Afternoon","Evening")))</f>
        <v/>
      </c>
      <c r="N55" s="63">
        <f>TEXT(A55,"DDD")</f>
        <v/>
      </c>
      <c r="O55" s="63">
        <f>WEEKNUM(A55)</f>
        <v/>
      </c>
      <c r="P55" s="63">
        <f>INDEX({"Q1","Q1","Q1","Q2","Q2","Q2","Q3","Q3","Q3","Q4","Q4","Q4"},MONTH(A55))</f>
        <v/>
      </c>
    </row>
    <row r="56">
      <c r="A56" s="199" t="n">
        <v>45749</v>
      </c>
      <c r="B56" s="200" t="n">
        <v>0.4895833333333333</v>
      </c>
      <c r="C56" s="63" t="n">
        <v>19</v>
      </c>
      <c r="D56" s="63" t="inlineStr">
        <is>
          <t>Player-to-Player</t>
        </is>
      </c>
      <c r="E56" s="63" t="inlineStr">
        <is>
          <t xml:space="preserve">Activity </t>
        </is>
      </c>
      <c r="F56" s="63" t="inlineStr">
        <is>
          <t xml:space="preserve">5 A side </t>
        </is>
      </c>
      <c r="G56" s="63" t="inlineStr">
        <is>
          <t>Open Play</t>
        </is>
      </c>
      <c r="H56" s="63" t="inlineStr">
        <is>
          <t>Facial Injury</t>
        </is>
      </c>
      <c r="I56" s="63" t="inlineStr">
        <is>
          <t>P3</t>
        </is>
      </c>
      <c r="J56" s="63" t="inlineStr">
        <is>
          <t>NO</t>
        </is>
      </c>
      <c r="K56" s="63">
        <f>TEXT(A56,"MMM-YY")</f>
        <v/>
      </c>
      <c r="L56" s="63">
        <f>HOUR(B56)</f>
        <v/>
      </c>
      <c r="M56" s="63">
        <f>IF(L56&lt;6,"Night",IF(L56&lt;12,"Morning",IF(L56&lt;18,"Afternoon","Evening")))</f>
        <v/>
      </c>
      <c r="N56" s="63">
        <f>TEXT(A56,"DDD")</f>
        <v/>
      </c>
      <c r="O56" s="63">
        <f>WEEKNUM(A56)</f>
        <v/>
      </c>
      <c r="P56" s="63">
        <f>INDEX({"Q1","Q1","Q1","Q2","Q2","Q2","Q3","Q3","Q3","Q4","Q4","Q4"},MONTH(A56))</f>
        <v/>
      </c>
    </row>
    <row r="57">
      <c r="A57" s="199" t="n">
        <v>45758</v>
      </c>
      <c r="B57" s="200" t="n">
        <v>0.5513888888888889</v>
      </c>
      <c r="C57" s="63" t="n">
        <v>74</v>
      </c>
      <c r="D57" s="63" t="inlineStr">
        <is>
          <t>Struck by Equipment</t>
        </is>
      </c>
      <c r="E57" s="63" t="inlineStr">
        <is>
          <t xml:space="preserve">Activity </t>
        </is>
      </c>
      <c r="F57" s="63" t="inlineStr">
        <is>
          <t xml:space="preserve">11- A side </t>
        </is>
      </c>
      <c r="G57" s="63" t="inlineStr">
        <is>
          <t>LFA</t>
        </is>
      </c>
      <c r="H57" s="63" t="inlineStr">
        <is>
          <t>Head Injury</t>
        </is>
      </c>
      <c r="I57" s="63" t="inlineStr">
        <is>
          <t>P3</t>
        </is>
      </c>
      <c r="J57" s="63" t="inlineStr">
        <is>
          <t>NO</t>
        </is>
      </c>
      <c r="K57" s="63">
        <f>TEXT(A57,"MMM-YY")</f>
        <v/>
      </c>
      <c r="L57" s="63">
        <f>HOUR(B57)</f>
        <v/>
      </c>
      <c r="M57" s="63">
        <f>IF(L57&lt;6,"Night",IF(L57&lt;12,"Morning",IF(L57&lt;18,"Afternoon","Evening")))</f>
        <v/>
      </c>
      <c r="N57" s="63">
        <f>TEXT(A57,"DDD")</f>
        <v/>
      </c>
      <c r="O57" s="63">
        <f>WEEKNUM(A57)</f>
        <v/>
      </c>
      <c r="P57" s="63">
        <f>INDEX({"Q1","Q1","Q1","Q2","Q2","Q2","Q3","Q3","Q3","Q4","Q4","Q4"},MONTH(A57))</f>
        <v/>
      </c>
    </row>
    <row r="58">
      <c r="A58" s="199" t="n">
        <v>45758</v>
      </c>
      <c r="B58" s="200" t="n">
        <v>0.6958333333333333</v>
      </c>
      <c r="C58" s="63" t="n">
        <v>12</v>
      </c>
      <c r="D58" s="63" t="inlineStr">
        <is>
          <t>Slips, Trips and falls</t>
        </is>
      </c>
      <c r="E58" s="63" t="inlineStr">
        <is>
          <t xml:space="preserve">Activity </t>
        </is>
      </c>
      <c r="F58" s="63" t="inlineStr">
        <is>
          <t>Skate Park</t>
        </is>
      </c>
      <c r="G58" s="63" t="inlineStr">
        <is>
          <t>Girl Skate</t>
        </is>
      </c>
      <c r="H58" s="63" t="inlineStr">
        <is>
          <t>Elbow</t>
        </is>
      </c>
      <c r="I58" s="63" t="inlineStr">
        <is>
          <t>P3</t>
        </is>
      </c>
      <c r="J58" s="63" t="inlineStr">
        <is>
          <t>NO</t>
        </is>
      </c>
      <c r="K58" s="63">
        <f>TEXT(A58,"MMM-YY")</f>
        <v/>
      </c>
      <c r="L58" s="63">
        <f>HOUR(B58)</f>
        <v/>
      </c>
      <c r="M58" s="63">
        <f>IF(L58&lt;6,"Night",IF(L58&lt;12,"Morning",IF(L58&lt;18,"Afternoon","Evening")))</f>
        <v/>
      </c>
      <c r="N58" s="63">
        <f>TEXT(A58,"DDD")</f>
        <v/>
      </c>
      <c r="O58" s="63">
        <f>WEEKNUM(A58)</f>
        <v/>
      </c>
      <c r="P58" s="63">
        <f>INDEX({"Q1","Q1","Q1","Q2","Q2","Q2","Q3","Q3","Q3","Q4","Q4","Q4"},MONTH(A58))</f>
        <v/>
      </c>
    </row>
    <row r="59">
      <c r="A59" s="199" t="n">
        <v>45761</v>
      </c>
      <c r="B59" s="200" t="n">
        <v>0.4791666666666667</v>
      </c>
      <c r="C59" s="63" t="n">
        <v>23</v>
      </c>
      <c r="D59" s="63" t="inlineStr">
        <is>
          <t>Player-to-Player</t>
        </is>
      </c>
      <c r="E59" s="63" t="inlineStr">
        <is>
          <t xml:space="preserve">Activity </t>
        </is>
      </c>
      <c r="F59" s="63" t="inlineStr">
        <is>
          <t xml:space="preserve">11- A side </t>
        </is>
      </c>
      <c r="G59" s="63" t="inlineStr">
        <is>
          <t>Morning Show</t>
        </is>
      </c>
      <c r="H59" s="63" t="inlineStr">
        <is>
          <t>Foot</t>
        </is>
      </c>
      <c r="I59" s="63" t="inlineStr">
        <is>
          <t>P3</t>
        </is>
      </c>
      <c r="J59" s="63" t="inlineStr">
        <is>
          <t>NO</t>
        </is>
      </c>
      <c r="K59" s="63">
        <f>TEXT(A59,"MMM-YY")</f>
        <v/>
      </c>
      <c r="L59" s="63">
        <f>HOUR(B59)</f>
        <v/>
      </c>
      <c r="M59" s="63">
        <f>IF(L59&lt;6,"Night",IF(L59&lt;12,"Morning",IF(L59&lt;18,"Afternoon","Evening")))</f>
        <v/>
      </c>
      <c r="N59" s="63">
        <f>TEXT(A59,"DDD")</f>
        <v/>
      </c>
      <c r="O59" s="63">
        <f>WEEKNUM(A59)</f>
        <v/>
      </c>
      <c r="P59" s="63">
        <f>INDEX({"Q1","Q1","Q1","Q2","Q2","Q2","Q3","Q3","Q3","Q4","Q4","Q4"},MONTH(A59))</f>
        <v/>
      </c>
    </row>
    <row r="60">
      <c r="A60" s="199" t="n">
        <v>45762</v>
      </c>
      <c r="B60" s="200" t="n">
        <v>0.6236111111111111</v>
      </c>
      <c r="C60" s="63" t="n">
        <v>22</v>
      </c>
      <c r="D60" s="63" t="inlineStr">
        <is>
          <t>Stress Fractures</t>
        </is>
      </c>
      <c r="E60" s="63" t="inlineStr">
        <is>
          <t xml:space="preserve">Activity </t>
        </is>
      </c>
      <c r="F60" s="63" t="inlineStr">
        <is>
          <t xml:space="preserve">11- A side </t>
        </is>
      </c>
      <c r="G60" s="63" t="inlineStr">
        <is>
          <t>Training</t>
        </is>
      </c>
      <c r="H60" s="63" t="inlineStr">
        <is>
          <t>Knee</t>
        </is>
      </c>
      <c r="I60" s="63" t="inlineStr">
        <is>
          <t>P3</t>
        </is>
      </c>
      <c r="J60" s="63" t="inlineStr">
        <is>
          <t>NO</t>
        </is>
      </c>
      <c r="K60" s="63">
        <f>TEXT(A60,"MMM-YY")</f>
        <v/>
      </c>
      <c r="L60" s="63">
        <f>HOUR(B60)</f>
        <v/>
      </c>
      <c r="M60" s="63">
        <f>IF(L60&lt;6,"Night",IF(L60&lt;12,"Morning",IF(L60&lt;18,"Afternoon","Evening")))</f>
        <v/>
      </c>
      <c r="N60" s="63">
        <f>TEXT(A60,"DDD")</f>
        <v/>
      </c>
      <c r="O60" s="63">
        <f>WEEKNUM(A60)</f>
        <v/>
      </c>
      <c r="P60" s="63">
        <f>INDEX({"Q1","Q1","Q1","Q2","Q2","Q2","Q3","Q3","Q3","Q4","Q4","Q4"},MONTH(A60))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99" t="n">
        <v>45763</v>
      </c>
      <c r="B61" s="200" t="n">
        <v>0.5090277777777777</v>
      </c>
      <c r="C61" s="63" t="n">
        <v>19</v>
      </c>
      <c r="D61" s="63" t="inlineStr">
        <is>
          <t>Medical</t>
        </is>
      </c>
      <c r="E61" s="63" t="inlineStr">
        <is>
          <t>NONE SPORTS CENTER</t>
        </is>
      </c>
      <c r="F61" s="63" t="inlineStr">
        <is>
          <t xml:space="preserve">11- A side </t>
        </is>
      </c>
      <c r="G61" s="63" t="inlineStr">
        <is>
          <t>Open Play</t>
        </is>
      </c>
      <c r="H61" s="63" t="inlineStr">
        <is>
          <t>Medical</t>
        </is>
      </c>
      <c r="I61" s="63" t="inlineStr">
        <is>
          <t>P3</t>
        </is>
      </c>
      <c r="J61" s="63" t="inlineStr">
        <is>
          <t>NO</t>
        </is>
      </c>
      <c r="K61" s="63">
        <f>TEXT(A61,"MMM-YY")</f>
        <v/>
      </c>
      <c r="L61" s="63">
        <f>HOUR(B61)</f>
        <v/>
      </c>
      <c r="M61" s="63">
        <f>IF(L61&lt;6,"Night",IF(L61&lt;12,"Morning",IF(L61&lt;18,"Afternoon","Evening")))</f>
        <v/>
      </c>
      <c r="N61" s="63">
        <f>TEXT(A61,"DDD")</f>
        <v/>
      </c>
      <c r="O61" s="63">
        <f>WEEKNUM(A61)</f>
        <v/>
      </c>
      <c r="P61" s="63">
        <f>INDEX({"Q1","Q1","Q1","Q2","Q2","Q2","Q3","Q3","Q3","Q4","Q4","Q4"},MONTH(A61))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99" t="n">
        <v>45763</v>
      </c>
      <c r="B62" s="200" t="n">
        <v>0.5763888888888888</v>
      </c>
      <c r="C62" s="63" t="n">
        <v>39</v>
      </c>
      <c r="D62" s="63" t="inlineStr">
        <is>
          <t>Player-to-Object</t>
        </is>
      </c>
      <c r="E62" s="63" t="inlineStr">
        <is>
          <t xml:space="preserve">Activity </t>
        </is>
      </c>
      <c r="F62" s="63" t="inlineStr">
        <is>
          <t xml:space="preserve">11- A side </t>
        </is>
      </c>
      <c r="G62" s="63" t="inlineStr">
        <is>
          <t>LFA</t>
        </is>
      </c>
      <c r="H62" s="63" t="inlineStr">
        <is>
          <t>Chest</t>
        </is>
      </c>
      <c r="I62" s="63" t="inlineStr">
        <is>
          <t>P3</t>
        </is>
      </c>
      <c r="J62" s="63" t="inlineStr">
        <is>
          <t>NO</t>
        </is>
      </c>
      <c r="K62" s="63">
        <f>TEXT(A62,"MMM-YY")</f>
        <v/>
      </c>
      <c r="L62" s="63">
        <f>HOUR(B62)</f>
        <v/>
      </c>
      <c r="M62" s="63">
        <f>IF(L62&lt;6,"Night",IF(L62&lt;12,"Morning",IF(L62&lt;18,"Afternoon","Evening")))</f>
        <v/>
      </c>
      <c r="N62" s="63">
        <f>TEXT(A62,"DDD")</f>
        <v/>
      </c>
      <c r="O62" s="63">
        <f>WEEKNUM(A62)</f>
        <v/>
      </c>
      <c r="P62" s="63">
        <f>INDEX({"Q1","Q1","Q1","Q2","Q2","Q2","Q3","Q3","Q3","Q4","Q4","Q4"},MONTH(A62))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99" t="n">
        <v>45769</v>
      </c>
      <c r="B63" s="200" t="n">
        <v>0.4965277777777778</v>
      </c>
      <c r="C63" s="63" t="n">
        <v>22</v>
      </c>
      <c r="D63" s="63" t="inlineStr">
        <is>
          <t>Player-to-Player</t>
        </is>
      </c>
      <c r="E63" s="63" t="inlineStr">
        <is>
          <t xml:space="preserve">Activity </t>
        </is>
      </c>
      <c r="F63" s="63" t="inlineStr">
        <is>
          <t xml:space="preserve">11- A side </t>
        </is>
      </c>
      <c r="G63" s="63" t="inlineStr">
        <is>
          <t>Morning Show</t>
        </is>
      </c>
      <c r="H63" s="63" t="inlineStr">
        <is>
          <t>Ankle</t>
        </is>
      </c>
      <c r="I63" s="63" t="inlineStr">
        <is>
          <t>P3</t>
        </is>
      </c>
      <c r="J63" s="63" t="inlineStr">
        <is>
          <t>NO</t>
        </is>
      </c>
      <c r="K63" s="63">
        <f>TEXT(A63,"MMM-YY")</f>
        <v/>
      </c>
      <c r="L63" s="63">
        <f>HOUR(B63)</f>
        <v/>
      </c>
      <c r="M63" s="63">
        <f>IF(L63&lt;6,"Night",IF(L63&lt;12,"Morning",IF(L63&lt;18,"Afternoon","Evening")))</f>
        <v/>
      </c>
      <c r="N63" s="63">
        <f>TEXT(A63,"DDD")</f>
        <v/>
      </c>
      <c r="O63" s="63">
        <f>WEEKNUM(A63)</f>
        <v/>
      </c>
      <c r="P63" s="63">
        <f>INDEX({"Q1","Q1","Q1","Q2","Q2","Q2","Q3","Q3","Q3","Q4","Q4","Q4"},MONTH(A63))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99" t="n">
        <v>45769</v>
      </c>
      <c r="B64" s="200" t="n">
        <v>0.6840277777777778</v>
      </c>
      <c r="C64" s="63" t="n">
        <v>9</v>
      </c>
      <c r="D64" s="63" t="inlineStr">
        <is>
          <t>Player-to-Object</t>
        </is>
      </c>
      <c r="E64" s="63" t="inlineStr">
        <is>
          <t xml:space="preserve">Activity </t>
        </is>
      </c>
      <c r="F64" s="63" t="inlineStr">
        <is>
          <t xml:space="preserve">5 A side </t>
        </is>
      </c>
      <c r="G64" s="63" t="inlineStr">
        <is>
          <t xml:space="preserve">Afternoon Program </t>
        </is>
      </c>
      <c r="H64" s="63" t="inlineStr">
        <is>
          <t>Foot</t>
        </is>
      </c>
      <c r="I64" s="63" t="inlineStr">
        <is>
          <t>P3</t>
        </is>
      </c>
      <c r="J64" s="63" t="inlineStr">
        <is>
          <t>NO</t>
        </is>
      </c>
      <c r="K64" s="63">
        <f>TEXT(A64,"MMM-YY")</f>
        <v/>
      </c>
      <c r="L64" s="63">
        <f>HOUR(B64)</f>
        <v/>
      </c>
      <c r="M64" s="63">
        <f>IF(L64&lt;6,"Night",IF(L64&lt;12,"Morning",IF(L64&lt;18,"Afternoon","Evening")))</f>
        <v/>
      </c>
      <c r="N64" s="63">
        <f>TEXT(A64,"DDD")</f>
        <v/>
      </c>
      <c r="O64" s="63">
        <f>WEEKNUM(A64)</f>
        <v/>
      </c>
      <c r="P64" s="63">
        <f>INDEX({"Q1","Q1","Q1","Q2","Q2","Q2","Q3","Q3","Q3","Q4","Q4","Q4"},MONTH(A64))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99" t="n">
        <v>45776</v>
      </c>
      <c r="B65" s="200" t="n">
        <v>0.6326388888888889</v>
      </c>
      <c r="C65" s="63" t="n">
        <v>21</v>
      </c>
      <c r="D65" s="63" t="inlineStr">
        <is>
          <t>Struck by Equipment</t>
        </is>
      </c>
      <c r="E65" s="63" t="inlineStr">
        <is>
          <t xml:space="preserve">Activity </t>
        </is>
      </c>
      <c r="F65" s="63" t="inlineStr">
        <is>
          <t xml:space="preserve">JDI Studio </t>
        </is>
      </c>
      <c r="G65" s="63" t="inlineStr">
        <is>
          <t>Kicking Boxing</t>
        </is>
      </c>
      <c r="H65" s="63" t="inlineStr">
        <is>
          <t>Foot</t>
        </is>
      </c>
      <c r="I65" s="63" t="inlineStr">
        <is>
          <t>P3</t>
        </is>
      </c>
      <c r="J65" s="63" t="inlineStr">
        <is>
          <t>NO</t>
        </is>
      </c>
      <c r="K65" s="63">
        <f>TEXT(A65,"MMM-YY")</f>
        <v/>
      </c>
      <c r="L65" s="63">
        <f>HOUR(B65)</f>
        <v/>
      </c>
      <c r="M65" s="63">
        <f>IF(L65&lt;6,"Night",IF(L65&lt;12,"Morning",IF(L65&lt;18,"Afternoon","Evening")))</f>
        <v/>
      </c>
      <c r="N65" s="63">
        <f>TEXT(A65,"DDD")</f>
        <v/>
      </c>
      <c r="O65" s="63">
        <f>WEEKNUM(A65)</f>
        <v/>
      </c>
      <c r="P65" s="63">
        <f>INDEX({"Q1","Q1","Q1","Q2","Q2","Q2","Q3","Q3","Q3","Q4","Q4","Q4"},MONTH(A65))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99" t="n">
        <v>45777</v>
      </c>
      <c r="B66" s="200" t="n">
        <v>0.4583333333333333</v>
      </c>
      <c r="C66" s="63" t="n">
        <v>68</v>
      </c>
      <c r="D66" s="63" t="inlineStr">
        <is>
          <t>Muscle Strains</t>
        </is>
      </c>
      <c r="E66" s="63" t="inlineStr">
        <is>
          <t xml:space="preserve">Activity </t>
        </is>
      </c>
      <c r="F66" s="63" t="inlineStr">
        <is>
          <t>Athletics track</t>
        </is>
      </c>
      <c r="G66" s="63" t="inlineStr">
        <is>
          <t>Open Play</t>
        </is>
      </c>
      <c r="H66" s="63" t="inlineStr">
        <is>
          <t>Ankle</t>
        </is>
      </c>
      <c r="I66" s="63" t="inlineStr">
        <is>
          <t>P3</t>
        </is>
      </c>
      <c r="J66" s="63" t="inlineStr">
        <is>
          <t>NO</t>
        </is>
      </c>
      <c r="K66" s="63">
        <f>TEXT(A66,"MMM-YY")</f>
        <v/>
      </c>
      <c r="L66" s="63">
        <f>HOUR(B66)</f>
        <v/>
      </c>
      <c r="M66" s="63">
        <f>IF(L66&lt;6,"Night",IF(L66&lt;12,"Morning",IF(L66&lt;18,"Afternoon","Evening")))</f>
        <v/>
      </c>
      <c r="N66" s="63">
        <f>TEXT(A66,"DDD")</f>
        <v/>
      </c>
      <c r="O66" s="63">
        <f>WEEKNUM(A66)</f>
        <v/>
      </c>
      <c r="P66" s="63">
        <f>INDEX({"Q1","Q1","Q1","Q2","Q2","Q2","Q3","Q3","Q3","Q4","Q4","Q4"},MONTH(A66))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99" t="n">
        <v>45777</v>
      </c>
      <c r="B67" s="200" t="n">
        <v>0.4652777777777778</v>
      </c>
      <c r="C67" s="63" t="n">
        <v>10</v>
      </c>
      <c r="D67" s="63" t="inlineStr">
        <is>
          <t>Player-to-Player</t>
        </is>
      </c>
      <c r="E67" s="63" t="inlineStr">
        <is>
          <t xml:space="preserve">Activity </t>
        </is>
      </c>
      <c r="F67" s="63" t="inlineStr">
        <is>
          <t xml:space="preserve">11- A side </t>
        </is>
      </c>
      <c r="G67" s="63" t="inlineStr">
        <is>
          <t>Open Play</t>
        </is>
      </c>
      <c r="H67" s="63" t="inlineStr">
        <is>
          <t>Knee</t>
        </is>
      </c>
      <c r="I67" s="63" t="inlineStr">
        <is>
          <t>P3</t>
        </is>
      </c>
      <c r="J67" s="63" t="inlineStr">
        <is>
          <t>NO</t>
        </is>
      </c>
      <c r="K67" s="63">
        <f>TEXT(A67,"MMM-YY")</f>
        <v/>
      </c>
      <c r="L67" s="63">
        <f>HOUR(B67)</f>
        <v/>
      </c>
      <c r="M67" s="63">
        <f>IF(L67&lt;6,"Night",IF(L67&lt;12,"Morning",IF(L67&lt;18,"Afternoon","Evening")))</f>
        <v/>
      </c>
      <c r="N67" s="63">
        <f>TEXT(A67,"DDD")</f>
        <v/>
      </c>
      <c r="O67" s="63">
        <f>WEEKNUM(A67)</f>
        <v/>
      </c>
      <c r="P67" s="63">
        <f>INDEX({"Q1","Q1","Q1","Q2","Q2","Q2","Q3","Q3","Q3","Q4","Q4","Q4"},MONTH(A67))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99" t="n">
        <v>45777</v>
      </c>
      <c r="B68" s="200" t="n">
        <v>0.7277777777777777</v>
      </c>
      <c r="C68" s="63" t="n">
        <v>17</v>
      </c>
      <c r="D68" s="63" t="inlineStr">
        <is>
          <t>Stress Fractures</t>
        </is>
      </c>
      <c r="E68" s="63" t="inlineStr">
        <is>
          <t xml:space="preserve">Activity </t>
        </is>
      </c>
      <c r="F68" s="63" t="inlineStr">
        <is>
          <t>Basketball</t>
        </is>
      </c>
      <c r="G68" s="63" t="inlineStr">
        <is>
          <t>Open Play</t>
        </is>
      </c>
      <c r="H68" s="63" t="inlineStr">
        <is>
          <t>Ankle</t>
        </is>
      </c>
      <c r="I68" s="63" t="inlineStr">
        <is>
          <t>P3</t>
        </is>
      </c>
      <c r="J68" s="63" t="inlineStr">
        <is>
          <t>NO</t>
        </is>
      </c>
      <c r="K68" s="63">
        <f>TEXT(A68,"MMM-YY")</f>
        <v/>
      </c>
      <c r="L68" s="63">
        <f>HOUR(B68)</f>
        <v/>
      </c>
      <c r="M68" s="63">
        <f>IF(L68&lt;6,"Night",IF(L68&lt;12,"Morning",IF(L68&lt;18,"Afternoon","Evening")))</f>
        <v/>
      </c>
      <c r="N68" s="63">
        <f>TEXT(A68,"DDD")</f>
        <v/>
      </c>
      <c r="O68" s="63">
        <f>WEEKNUM(A68)</f>
        <v/>
      </c>
      <c r="P68" s="63">
        <f>INDEX({"Q1","Q1","Q1","Q2","Q2","Q2","Q3","Q3","Q3","Q4","Q4","Q4"},MONTH(A68))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99" t="n">
        <v>45780</v>
      </c>
      <c r="B69" s="200" t="n">
        <v>0.6180555555555556</v>
      </c>
      <c r="C69" s="63" t="n">
        <v>9</v>
      </c>
      <c r="D69" s="63" t="inlineStr">
        <is>
          <t>Slips, Trips and falls</t>
        </is>
      </c>
      <c r="E69" s="63" t="inlineStr">
        <is>
          <t>Activity</t>
        </is>
      </c>
      <c r="F69" s="63" t="inlineStr">
        <is>
          <t>Skate Park</t>
        </is>
      </c>
      <c r="G69" s="63" t="inlineStr">
        <is>
          <t>Open Play</t>
        </is>
      </c>
      <c r="H69" s="63" t="inlineStr">
        <is>
          <t>Arm</t>
        </is>
      </c>
      <c r="I69" s="63" t="n">
        <v>3</v>
      </c>
      <c r="J69" s="63" t="inlineStr">
        <is>
          <t>NO</t>
        </is>
      </c>
      <c r="K69" s="63">
        <f>TEXT(A69,"MMM-YY")</f>
        <v/>
      </c>
      <c r="L69" s="63">
        <f>HOUR(B69)</f>
        <v/>
      </c>
      <c r="M69" s="63">
        <f>IF(L69&lt;6,"Night",IF(L69&lt;12,"Morning",IF(L69&lt;18,"Afternoon","Evening")))</f>
        <v/>
      </c>
      <c r="N69" s="63">
        <f>TEXT(A69,"DDD")</f>
        <v/>
      </c>
      <c r="O69" s="63">
        <f>WEEKNUM(A69)</f>
        <v/>
      </c>
      <c r="P69" s="63">
        <f>INDEX({"Q1","Q1","Q1","Q2","Q2","Q2","Q3","Q3","Q3","Q4","Q4","Q4"},MONTH(A69))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99" t="n">
        <v>45781</v>
      </c>
      <c r="B70" s="200" t="n">
        <v>0.4173611111111111</v>
      </c>
      <c r="C70" s="63" t="n">
        <v>18</v>
      </c>
      <c r="D70" s="63" t="inlineStr">
        <is>
          <t>Player-to-Player</t>
        </is>
      </c>
      <c r="E70" s="63" t="inlineStr">
        <is>
          <t>Activity</t>
        </is>
      </c>
      <c r="F70" s="63" t="inlineStr">
        <is>
          <t>11- A side</t>
        </is>
      </c>
      <c r="G70" s="63" t="inlineStr">
        <is>
          <t>LFA</t>
        </is>
      </c>
      <c r="H70" s="63" t="inlineStr">
        <is>
          <t>Facial Injury</t>
        </is>
      </c>
      <c r="I70" s="63" t="n">
        <v>3</v>
      </c>
      <c r="J70" s="63" t="inlineStr">
        <is>
          <t>NO</t>
        </is>
      </c>
      <c r="K70" s="63">
        <f>TEXT(A70,"MMM-YY")</f>
        <v/>
      </c>
      <c r="L70" s="63">
        <f>HOUR(B70)</f>
        <v/>
      </c>
      <c r="M70" s="63">
        <f>IF(L70&lt;6,"Night",IF(L70&lt;12,"Morning",IF(L70&lt;18,"Afternoon","Evening")))</f>
        <v/>
      </c>
      <c r="N70" s="63">
        <f>TEXT(A70,"DDD")</f>
        <v/>
      </c>
      <c r="O70" s="63">
        <f>WEEKNUM(A70)</f>
        <v/>
      </c>
      <c r="P70" s="63">
        <f>INDEX({"Q1","Q1","Q1","Q2","Q2","Q2","Q3","Q3","Q3","Q4","Q4","Q4"},MONTH(A70))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99" t="n">
        <v>45782</v>
      </c>
      <c r="B71" s="200" t="n">
        <v>0.73125</v>
      </c>
      <c r="C71" s="63" t="n">
        <v>16</v>
      </c>
      <c r="D71" s="63" t="inlineStr">
        <is>
          <t>Player-to-Object</t>
        </is>
      </c>
      <c r="E71" s="63" t="inlineStr">
        <is>
          <t>Activity</t>
        </is>
      </c>
      <c r="F71" s="63" t="inlineStr">
        <is>
          <t>11- A side</t>
        </is>
      </c>
      <c r="G71" s="63" t="inlineStr">
        <is>
          <t>Open Play</t>
        </is>
      </c>
      <c r="H71" s="63" t="inlineStr">
        <is>
          <t>Knee</t>
        </is>
      </c>
      <c r="I71" s="63" t="n">
        <v>3</v>
      </c>
      <c r="J71" s="63" t="inlineStr">
        <is>
          <t>NO</t>
        </is>
      </c>
      <c r="K71" s="63">
        <f>TEXT(A71,"MMM-YY")</f>
        <v/>
      </c>
      <c r="L71" s="63">
        <f>HOUR(B71)</f>
        <v/>
      </c>
      <c r="M71" s="63">
        <f>IF(L71&lt;6,"Night",IF(L71&lt;12,"Morning",IF(L71&lt;18,"Afternoon","Evening")))</f>
        <v/>
      </c>
      <c r="N71" s="63">
        <f>TEXT(A71,"DDD")</f>
        <v/>
      </c>
      <c r="O71" s="63">
        <f>WEEKNUM(A71)</f>
        <v/>
      </c>
      <c r="P71" s="63">
        <f>INDEX({"Q1","Q1","Q1","Q2","Q2","Q2","Q3","Q3","Q3","Q4","Q4","Q4"},MONTH(A71))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99" t="n">
        <v>45793</v>
      </c>
      <c r="B72" s="200" t="n">
        <v>0.4673611111111111</v>
      </c>
      <c r="C72" s="63" t="n">
        <v>22</v>
      </c>
      <c r="D72" s="63" t="inlineStr">
        <is>
          <t>Player-to-Player</t>
        </is>
      </c>
      <c r="E72" s="63" t="inlineStr">
        <is>
          <t>Activity</t>
        </is>
      </c>
      <c r="F72" s="63" t="inlineStr">
        <is>
          <t>11- A side</t>
        </is>
      </c>
      <c r="G72" s="63" t="inlineStr">
        <is>
          <t>Morning Show</t>
        </is>
      </c>
      <c r="H72" s="63" t="inlineStr">
        <is>
          <t>Facial Injury</t>
        </is>
      </c>
      <c r="I72" s="63" t="n">
        <v>3</v>
      </c>
      <c r="J72" s="63" t="inlineStr">
        <is>
          <t>NO</t>
        </is>
      </c>
      <c r="K72" s="63">
        <f>TEXT(A72,"MMM-YY")</f>
        <v/>
      </c>
      <c r="L72" s="63">
        <f>HOUR(B72)</f>
        <v/>
      </c>
      <c r="M72" s="63">
        <f>IF(L72&lt;6,"Night",IF(L72&lt;12,"Morning",IF(L72&lt;18,"Afternoon","Evening")))</f>
        <v/>
      </c>
      <c r="N72" s="63">
        <f>TEXT(A72,"DDD")</f>
        <v/>
      </c>
      <c r="O72" s="63">
        <f>WEEKNUM(A72)</f>
        <v/>
      </c>
      <c r="P72" s="63">
        <f>INDEX({"Q1","Q1","Q1","Q2","Q2","Q2","Q3","Q3","Q3","Q4","Q4","Q4"},MONTH(A72))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99" t="n">
        <v>45796</v>
      </c>
      <c r="B73" s="200" t="n">
        <v>0.7319444444444444</v>
      </c>
      <c r="C73" s="63" t="n">
        <v>21</v>
      </c>
      <c r="D73" s="63" t="inlineStr">
        <is>
          <t>Slips, Trips and falls</t>
        </is>
      </c>
      <c r="E73" s="63" t="inlineStr">
        <is>
          <t>Activity</t>
        </is>
      </c>
      <c r="F73" s="63" t="inlineStr">
        <is>
          <t>Basketball</t>
        </is>
      </c>
      <c r="G73" s="63" t="inlineStr">
        <is>
          <t>Open Play</t>
        </is>
      </c>
      <c r="H73" s="63" t="inlineStr">
        <is>
          <t>Ankle</t>
        </is>
      </c>
      <c r="I73" s="63" t="n">
        <v>3</v>
      </c>
      <c r="J73" s="63" t="inlineStr">
        <is>
          <t>NO</t>
        </is>
      </c>
      <c r="K73" s="63">
        <f>TEXT(A73,"MMM-YY")</f>
        <v/>
      </c>
      <c r="L73" s="63">
        <f>HOUR(B73)</f>
        <v/>
      </c>
      <c r="M73" s="63">
        <f>IF(L73&lt;6,"Night",IF(L73&lt;12,"Morning",IF(L73&lt;18,"Afternoon","Evening")))</f>
        <v/>
      </c>
      <c r="N73" s="63">
        <f>TEXT(A73,"DDD")</f>
        <v/>
      </c>
      <c r="O73" s="63">
        <f>WEEKNUM(A73)</f>
        <v/>
      </c>
      <c r="P73" s="63">
        <f>INDEX({"Q1","Q1","Q1","Q2","Q2","Q2","Q3","Q3","Q3","Q4","Q4","Q4"},MONTH(A73))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99" t="n">
        <v>45798</v>
      </c>
      <c r="B74" s="200" t="n">
        <v>0.5020833333333333</v>
      </c>
      <c r="C74" s="63" t="n">
        <v>23</v>
      </c>
      <c r="D74" s="63" t="inlineStr">
        <is>
          <t>Medical</t>
        </is>
      </c>
      <c r="E74" s="63" t="inlineStr">
        <is>
          <t>Activity</t>
        </is>
      </c>
      <c r="F74" s="63" t="inlineStr">
        <is>
          <t>JDI Studio</t>
        </is>
      </c>
      <c r="G74" s="63" t="inlineStr">
        <is>
          <t>Kicking Boxing</t>
        </is>
      </c>
      <c r="H74" s="63" t="inlineStr">
        <is>
          <t>Medical</t>
        </is>
      </c>
      <c r="I74" s="63" t="n">
        <v>3</v>
      </c>
      <c r="J74" s="63" t="inlineStr">
        <is>
          <t>NO</t>
        </is>
      </c>
      <c r="K74" s="63">
        <f>TEXT(A74,"MMM-YY")</f>
        <v/>
      </c>
      <c r="L74" s="63">
        <f>HOUR(B74)</f>
        <v/>
      </c>
      <c r="M74" s="63">
        <f>IF(L74&lt;6,"Night",IF(L74&lt;12,"Morning",IF(L74&lt;18,"Afternoon","Evening")))</f>
        <v/>
      </c>
      <c r="N74" s="63">
        <f>TEXT(A74,"DDD")</f>
        <v/>
      </c>
      <c r="O74" s="63">
        <f>WEEKNUM(A74)</f>
        <v/>
      </c>
      <c r="P74" s="63">
        <f>INDEX({"Q1","Q1","Q1","Q2","Q2","Q2","Q3","Q3","Q3","Q4","Q4","Q4"},MONTH(A74))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99" t="n">
        <v>45800</v>
      </c>
      <c r="B75" s="200" t="n">
        <v>0.7055555555555556</v>
      </c>
      <c r="C75" s="63" t="n">
        <v>17</v>
      </c>
      <c r="D75" s="63" t="inlineStr">
        <is>
          <t>Muscle Strains</t>
        </is>
      </c>
      <c r="E75" s="63" t="inlineStr">
        <is>
          <t>Activity</t>
        </is>
      </c>
      <c r="F75" s="63" t="inlineStr">
        <is>
          <t>11- A side</t>
        </is>
      </c>
      <c r="G75" s="63" t="inlineStr">
        <is>
          <t>Open Play</t>
        </is>
      </c>
      <c r="H75" s="63" t="inlineStr">
        <is>
          <t>Ankle</t>
        </is>
      </c>
      <c r="I75" s="63" t="n">
        <v>3</v>
      </c>
      <c r="J75" s="63" t="inlineStr">
        <is>
          <t>NO</t>
        </is>
      </c>
      <c r="K75" s="63">
        <f>TEXT(A75,"MMM-YY")</f>
        <v/>
      </c>
      <c r="L75" s="63">
        <f>HOUR(B75)</f>
        <v/>
      </c>
      <c r="M75" s="63">
        <f>IF(L75&lt;6,"Night",IF(L75&lt;12,"Morning",IF(L75&lt;18,"Afternoon","Evening")))</f>
        <v/>
      </c>
      <c r="N75" s="63">
        <f>TEXT(A75,"DDD")</f>
        <v/>
      </c>
      <c r="O75" s="63">
        <f>WEEKNUM(A75)</f>
        <v/>
      </c>
      <c r="P75" s="63">
        <f>INDEX({"Q1","Q1","Q1","Q2","Q2","Q2","Q3","Q3","Q3","Q4","Q4","Q4"},MONTH(A75))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99" t="n">
        <v>45804</v>
      </c>
      <c r="B76" s="200" t="n">
        <v>0.6930555555555555</v>
      </c>
      <c r="C76" s="63" t="n">
        <v>9</v>
      </c>
      <c r="D76" s="63" t="inlineStr">
        <is>
          <t>Player-to-Player</t>
        </is>
      </c>
      <c r="E76" s="63" t="inlineStr">
        <is>
          <t>Activity</t>
        </is>
      </c>
      <c r="F76" s="63" t="inlineStr">
        <is>
          <t>11- A side</t>
        </is>
      </c>
      <c r="G76" s="63" t="inlineStr">
        <is>
          <t>Girl Skate</t>
        </is>
      </c>
      <c r="H76" s="63" t="inlineStr">
        <is>
          <t>Knee</t>
        </is>
      </c>
      <c r="I76" s="63" t="n">
        <v>3</v>
      </c>
      <c r="J76" s="63" t="inlineStr">
        <is>
          <t>NO</t>
        </is>
      </c>
      <c r="K76" s="63">
        <f>TEXT(A76,"MMM-YY")</f>
        <v/>
      </c>
      <c r="L76" s="63">
        <f>HOUR(B76)</f>
        <v/>
      </c>
      <c r="M76" s="63">
        <f>IF(L76&lt;6,"Night",IF(L76&lt;12,"Morning",IF(L76&lt;18,"Afternoon","Evening")))</f>
        <v/>
      </c>
      <c r="N76" s="63">
        <f>TEXT(A76,"DDD")</f>
        <v/>
      </c>
      <c r="O76" s="63">
        <f>WEEKNUM(A76)</f>
        <v/>
      </c>
      <c r="P76" s="63">
        <f>INDEX({"Q1","Q1","Q1","Q2","Q2","Q2","Q3","Q3","Q3","Q4","Q4","Q4"},MONTH(A76))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99" t="n">
        <v>45805</v>
      </c>
      <c r="B77" s="200" t="n">
        <v>0.5180555555555556</v>
      </c>
      <c r="C77" s="63" t="n">
        <v>22</v>
      </c>
      <c r="D77" s="63" t="inlineStr">
        <is>
          <t>Slips, Trips and falls</t>
        </is>
      </c>
      <c r="E77" s="63" t="inlineStr">
        <is>
          <t>Activity</t>
        </is>
      </c>
      <c r="F77" s="63" t="inlineStr">
        <is>
          <t>11- A side</t>
        </is>
      </c>
      <c r="G77" s="63" t="inlineStr">
        <is>
          <t>Morning Show</t>
        </is>
      </c>
      <c r="H77" s="63" t="inlineStr">
        <is>
          <t>Foot</t>
        </is>
      </c>
      <c r="I77" s="63" t="n">
        <v>3</v>
      </c>
      <c r="J77" s="63" t="inlineStr">
        <is>
          <t>NO</t>
        </is>
      </c>
      <c r="K77" s="63">
        <f>TEXT(A77,"MMM-YY")</f>
        <v/>
      </c>
      <c r="L77" s="63">
        <f>HOUR(B77)</f>
        <v/>
      </c>
      <c r="M77" s="63">
        <f>IF(L77&lt;6,"Night",IF(L77&lt;12,"Morning",IF(L77&lt;18,"Afternoon","Evening")))</f>
        <v/>
      </c>
      <c r="N77" s="63">
        <f>TEXT(A77,"DDD")</f>
        <v/>
      </c>
      <c r="O77" s="63">
        <f>WEEKNUM(A77)</f>
        <v/>
      </c>
      <c r="P77" s="63">
        <f>INDEX({"Q1","Q1","Q1","Q2","Q2","Q2","Q3","Q3","Q3","Q4","Q4","Q4"},MONTH(A77))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99" t="n">
        <v>45806</v>
      </c>
      <c r="B78" s="200" t="n">
        <v>0.5097222222222222</v>
      </c>
      <c r="C78" s="63" t="n">
        <v>22</v>
      </c>
      <c r="D78" s="63" t="inlineStr">
        <is>
          <t>Slips, Trips and falls</t>
        </is>
      </c>
      <c r="E78" s="63" t="inlineStr">
        <is>
          <t>Activity</t>
        </is>
      </c>
      <c r="F78" s="63" t="inlineStr">
        <is>
          <t>11- A side</t>
        </is>
      </c>
      <c r="G78" s="63" t="inlineStr">
        <is>
          <t>Morning Show</t>
        </is>
      </c>
      <c r="H78" s="63" t="inlineStr">
        <is>
          <t>Wrist</t>
        </is>
      </c>
      <c r="I78" s="63" t="n">
        <v>3</v>
      </c>
      <c r="J78" s="63" t="inlineStr">
        <is>
          <t>NO</t>
        </is>
      </c>
      <c r="K78" s="63">
        <f>TEXT(A78,"MMM-YY")</f>
        <v/>
      </c>
      <c r="L78" s="63">
        <f>HOUR(B78)</f>
        <v/>
      </c>
      <c r="M78" s="63">
        <f>IF(L78&lt;6,"Night",IF(L78&lt;12,"Morning",IF(L78&lt;18,"Afternoon","Evening")))</f>
        <v/>
      </c>
      <c r="N78" s="63">
        <f>TEXT(A78,"DDD")</f>
        <v/>
      </c>
      <c r="O78" s="63">
        <f>WEEKNUM(A78)</f>
        <v/>
      </c>
      <c r="P78" s="63">
        <f>INDEX({"Q1","Q1","Q1","Q2","Q2","Q2","Q3","Q3","Q3","Q4","Q4","Q4"},MONTH(A78))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99" t="n">
        <v>45808</v>
      </c>
      <c r="B79" s="200" t="n">
        <v>0.4722222222222222</v>
      </c>
      <c r="C79" s="63" t="n">
        <v>21</v>
      </c>
      <c r="D79" s="63" t="inlineStr">
        <is>
          <t>Muscle Strains</t>
        </is>
      </c>
      <c r="E79" s="63" t="inlineStr">
        <is>
          <t>Activity</t>
        </is>
      </c>
      <c r="F79" s="63" t="inlineStr">
        <is>
          <t>5 A side</t>
        </is>
      </c>
      <c r="G79" s="63" t="inlineStr">
        <is>
          <t>Open Play</t>
        </is>
      </c>
      <c r="H79" s="63" t="inlineStr">
        <is>
          <t>Knee</t>
        </is>
      </c>
      <c r="I79" s="63" t="n">
        <v>3</v>
      </c>
      <c r="J79" s="63" t="inlineStr">
        <is>
          <t>NO</t>
        </is>
      </c>
      <c r="K79" s="63">
        <f>TEXT(A79,"MMM-YY")</f>
        <v/>
      </c>
      <c r="L79" s="63">
        <f>HOUR(B79)</f>
        <v/>
      </c>
      <c r="M79" s="63">
        <f>IF(L79&lt;6,"Night",IF(L79&lt;12,"Morning",IF(L79&lt;18,"Afternoon","Evening")))</f>
        <v/>
      </c>
      <c r="N79" s="63">
        <f>TEXT(A79,"DDD")</f>
        <v/>
      </c>
      <c r="O79" s="63">
        <f>WEEKNUM(A79)</f>
        <v/>
      </c>
      <c r="P79" s="63">
        <f>INDEX({"Q1","Q1","Q1","Q2","Q2","Q2","Q3","Q3","Q3","Q4","Q4","Q4"},MONTH(A79))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99" t="n">
        <v>45808</v>
      </c>
      <c r="B80" s="200" t="n">
        <v>0.6493055555555556</v>
      </c>
      <c r="C80" s="63" t="n">
        <v>15</v>
      </c>
      <c r="D80" s="63" t="inlineStr">
        <is>
          <t>Player-to-Player</t>
        </is>
      </c>
      <c r="E80" s="63" t="inlineStr">
        <is>
          <t>Activity</t>
        </is>
      </c>
      <c r="F80" s="63" t="inlineStr">
        <is>
          <t>11- A side</t>
        </is>
      </c>
      <c r="G80" s="63" t="inlineStr">
        <is>
          <t>Open Play</t>
        </is>
      </c>
      <c r="H80" s="63" t="inlineStr">
        <is>
          <t>Foot</t>
        </is>
      </c>
      <c r="I80" s="63" t="n">
        <v>3</v>
      </c>
      <c r="J80" s="63" t="inlineStr">
        <is>
          <t>NO</t>
        </is>
      </c>
      <c r="K80" s="63">
        <f>TEXT(A80,"MMM-YY")</f>
        <v/>
      </c>
      <c r="L80" s="63">
        <f>HOUR(B80)</f>
        <v/>
      </c>
      <c r="M80" s="63">
        <f>IF(L80&lt;6,"Night",IF(L80&lt;12,"Morning",IF(L80&lt;18,"Afternoon","Evening")))</f>
        <v/>
      </c>
      <c r="N80" s="63">
        <f>TEXT(A80,"DDD")</f>
        <v/>
      </c>
      <c r="O80" s="63">
        <f>WEEKNUM(A80)</f>
        <v/>
      </c>
      <c r="P80" s="63">
        <f>INDEX({"Q1","Q1","Q1","Q2","Q2","Q2","Q3","Q3","Q3","Q4","Q4","Q4"},MONTH(A80))</f>
        <v/>
      </c>
      <c r="W80" s="19" t="n">
        <v>45951</v>
      </c>
      <c r="AB80" t="inlineStr">
        <is>
          <t>Medical</t>
        </is>
      </c>
    </row>
    <row r="81">
      <c r="A81" s="199" t="n">
        <v>45808</v>
      </c>
      <c r="B81" s="200" t="n">
        <v>0.6666666666666666</v>
      </c>
      <c r="C81" s="63" t="n">
        <v>16</v>
      </c>
      <c r="D81" s="63" t="inlineStr">
        <is>
          <t>Player-to-Player</t>
        </is>
      </c>
      <c r="E81" s="63" t="inlineStr">
        <is>
          <t>Activity</t>
        </is>
      </c>
      <c r="F81" s="63" t="inlineStr">
        <is>
          <t>11- A side</t>
        </is>
      </c>
      <c r="G81" s="63" t="inlineStr">
        <is>
          <t>LFA</t>
        </is>
      </c>
      <c r="H81" s="63" t="inlineStr">
        <is>
          <t>Foot</t>
        </is>
      </c>
      <c r="I81" s="63" t="n">
        <v>3</v>
      </c>
      <c r="J81" s="63" t="inlineStr">
        <is>
          <t>NO</t>
        </is>
      </c>
      <c r="K81" s="63">
        <f>TEXT(A81,"MMM-YY")</f>
        <v/>
      </c>
      <c r="L81" s="63">
        <f>HOUR(B81)</f>
        <v/>
      </c>
      <c r="M81" s="63">
        <f>IF(L81&lt;6,"Night",IF(L81&lt;12,"Morning",IF(L81&lt;18,"Afternoon","Evening")))</f>
        <v/>
      </c>
      <c r="N81" s="63">
        <f>TEXT(A81,"DDD")</f>
        <v/>
      </c>
      <c r="O81" s="63">
        <f>WEEKNUM(A81)</f>
        <v/>
      </c>
      <c r="P81" s="63">
        <f>INDEX({"Q1","Q1","Q1","Q2","Q2","Q2","Q3","Q3","Q3","Q4","Q4","Q4"},MONTH(A81))</f>
        <v/>
      </c>
      <c r="W81" s="19" t="n">
        <v>45952</v>
      </c>
    </row>
    <row r="82">
      <c r="A82" s="199" t="n">
        <v>45810</v>
      </c>
      <c r="B82" s="200" t="n">
        <v>0.7152777777777778</v>
      </c>
      <c r="C82" s="63" t="n">
        <v>16</v>
      </c>
      <c r="D82" s="63" t="inlineStr">
        <is>
          <t>Muscle Strains</t>
        </is>
      </c>
      <c r="E82" s="63" t="inlineStr">
        <is>
          <t>Activity</t>
        </is>
      </c>
      <c r="F82" s="63" t="inlineStr">
        <is>
          <t>11- A side</t>
        </is>
      </c>
      <c r="G82" s="63" t="inlineStr">
        <is>
          <t>Open Play</t>
        </is>
      </c>
      <c r="H82" s="63" t="inlineStr">
        <is>
          <t>Foot</t>
        </is>
      </c>
      <c r="I82" s="63" t="n">
        <v>3</v>
      </c>
      <c r="J82" s="63" t="inlineStr">
        <is>
          <t>NO</t>
        </is>
      </c>
      <c r="K82" s="63">
        <f>TEXT(A82,"MMM-YY")</f>
        <v/>
      </c>
      <c r="L82" s="63">
        <f>HOUR(B82)</f>
        <v/>
      </c>
      <c r="M82" s="63">
        <f>IF(L82&lt;6,"Night",IF(L82&lt;12,"Morning",IF(L82&lt;18,"Afternoon","Evening")))</f>
        <v/>
      </c>
      <c r="N82" s="63">
        <f>TEXT(A82,"DDD")</f>
        <v/>
      </c>
      <c r="O82" s="63">
        <f>WEEKNUM(A82)</f>
        <v/>
      </c>
      <c r="P82" s="63">
        <f>INDEX({"Q1","Q1","Q1","Q2","Q2","Q2","Q3","Q3","Q3","Q4","Q4","Q4"},MONTH(A82))</f>
        <v/>
      </c>
      <c r="W82" s="19" t="n">
        <v>45953</v>
      </c>
    </row>
    <row r="83">
      <c r="A83" s="199" t="n">
        <v>45814</v>
      </c>
      <c r="B83" s="200" t="n">
        <v>0.625</v>
      </c>
      <c r="C83" s="63" t="n">
        <v>8</v>
      </c>
      <c r="D83" s="63" t="inlineStr">
        <is>
          <t>Player-to-Player</t>
        </is>
      </c>
      <c r="E83" s="63" t="inlineStr">
        <is>
          <t>Activity</t>
        </is>
      </c>
      <c r="F83" s="63" t="inlineStr">
        <is>
          <t>Skate Park</t>
        </is>
      </c>
      <c r="G83" s="63" t="inlineStr">
        <is>
          <t>Open Play</t>
        </is>
      </c>
      <c r="H83" s="63" t="inlineStr">
        <is>
          <t>Facial Injury</t>
        </is>
      </c>
      <c r="I83" s="63" t="n">
        <v>3</v>
      </c>
      <c r="J83" s="63" t="inlineStr">
        <is>
          <t>NO</t>
        </is>
      </c>
      <c r="K83" s="63">
        <f>TEXT(A83,"MMM-YY")</f>
        <v/>
      </c>
      <c r="L83" s="63">
        <f>HOUR(B83)</f>
        <v/>
      </c>
      <c r="M83" s="63">
        <f>IF(L83&lt;6,"Night",IF(L83&lt;12,"Morning",IF(L83&lt;18,"Afternoon","Evening")))</f>
        <v/>
      </c>
      <c r="N83" s="63">
        <f>TEXT(A83,"DDD")</f>
        <v/>
      </c>
      <c r="O83" s="63">
        <f>WEEKNUM(A83)</f>
        <v/>
      </c>
      <c r="P83" s="63">
        <f>INDEX({"Q1","Q1","Q1","Q2","Q2","Q2","Q3","Q3","Q3","Q4","Q4","Q4"},MONTH(A83))</f>
        <v/>
      </c>
      <c r="W83" s="19" t="n">
        <v>45954</v>
      </c>
    </row>
    <row r="84">
      <c r="A84" s="199" t="n">
        <v>45816</v>
      </c>
      <c r="B84" s="200" t="n">
        <v>0.4375</v>
      </c>
      <c r="C84" s="63" t="n">
        <v>19</v>
      </c>
      <c r="D84" s="63" t="inlineStr">
        <is>
          <t>Player-to-Player</t>
        </is>
      </c>
      <c r="E84" s="63" t="inlineStr">
        <is>
          <t>Activity</t>
        </is>
      </c>
      <c r="F84" s="63" t="inlineStr">
        <is>
          <t>11- A side</t>
        </is>
      </c>
      <c r="G84" s="63" t="inlineStr">
        <is>
          <t>Open Play</t>
        </is>
      </c>
      <c r="H84" s="63" t="inlineStr">
        <is>
          <t>Facial Injury</t>
        </is>
      </c>
      <c r="I84" s="63" t="n">
        <v>3</v>
      </c>
      <c r="J84" s="63" t="inlineStr">
        <is>
          <t>NO</t>
        </is>
      </c>
      <c r="K84" s="63">
        <f>TEXT(A84,"MMM-YY")</f>
        <v/>
      </c>
      <c r="L84" s="63">
        <f>HOUR(B84)</f>
        <v/>
      </c>
      <c r="M84" s="63">
        <f>IF(L84&lt;6,"Night",IF(L84&lt;12,"Morning",IF(L84&lt;18,"Afternoon","Evening")))</f>
        <v/>
      </c>
      <c r="N84" s="63">
        <f>TEXT(A84,"DDD")</f>
        <v/>
      </c>
      <c r="O84" s="63">
        <f>WEEKNUM(A84)</f>
        <v/>
      </c>
      <c r="P84" s="63">
        <f>INDEX({"Q1","Q1","Q1","Q2","Q2","Q2","Q3","Q3","Q3","Q4","Q4","Q4"},MONTH(A84))</f>
        <v/>
      </c>
      <c r="W84" s="19" t="n">
        <v>45955</v>
      </c>
    </row>
    <row r="85">
      <c r="A85" s="199" t="n">
        <v>45821</v>
      </c>
      <c r="B85" s="200" t="n">
        <v>0.6972222222222222</v>
      </c>
      <c r="C85" s="63" t="n">
        <v>11</v>
      </c>
      <c r="D85" s="63" t="inlineStr">
        <is>
          <t>Slips, Trips and falls</t>
        </is>
      </c>
      <c r="E85" s="63" t="inlineStr">
        <is>
          <t>Activity</t>
        </is>
      </c>
      <c r="F85" s="63" t="inlineStr">
        <is>
          <t>Skate Park</t>
        </is>
      </c>
      <c r="G85" s="63" t="inlineStr">
        <is>
          <t>Girl Skate</t>
        </is>
      </c>
      <c r="H85" s="63" t="inlineStr">
        <is>
          <t>Ankle</t>
        </is>
      </c>
      <c r="I85" s="63" t="n">
        <v>3</v>
      </c>
      <c r="J85" s="63" t="inlineStr">
        <is>
          <t>NO</t>
        </is>
      </c>
      <c r="K85" s="63">
        <f>TEXT(A85,"MMM-YY")</f>
        <v/>
      </c>
      <c r="L85" s="63">
        <f>HOUR(B85)</f>
        <v/>
      </c>
      <c r="M85" s="63">
        <f>IF(L85&lt;6,"Night",IF(L85&lt;12,"Morning",IF(L85&lt;18,"Afternoon","Evening")))</f>
        <v/>
      </c>
      <c r="N85" s="63">
        <f>TEXT(A85,"DDD")</f>
        <v/>
      </c>
      <c r="O85" s="63">
        <f>WEEKNUM(A85)</f>
        <v/>
      </c>
      <c r="P85" s="63">
        <f>INDEX({"Q1","Q1","Q1","Q2","Q2","Q2","Q3","Q3","Q3","Q4","Q4","Q4"},MONTH(A85))</f>
        <v/>
      </c>
      <c r="W85" s="19" t="n">
        <v>45956</v>
      </c>
    </row>
    <row r="86">
      <c r="A86" s="199" t="n">
        <v>45823</v>
      </c>
      <c r="B86" s="200" t="n">
        <v>0.5347222222222222</v>
      </c>
      <c r="C86" s="63" t="n">
        <v>16</v>
      </c>
      <c r="D86" s="63" t="inlineStr">
        <is>
          <t>Slips, Trips and falls</t>
        </is>
      </c>
      <c r="E86" s="63" t="inlineStr">
        <is>
          <t>Activity</t>
        </is>
      </c>
      <c r="F86" s="63" t="inlineStr">
        <is>
          <t>11- A side</t>
        </is>
      </c>
      <c r="G86" s="63" t="inlineStr">
        <is>
          <t>Open Play</t>
        </is>
      </c>
      <c r="H86" s="63" t="inlineStr">
        <is>
          <t>Wrist</t>
        </is>
      </c>
      <c r="I86" s="63" t="n">
        <v>3</v>
      </c>
      <c r="J86" s="63" t="inlineStr">
        <is>
          <t>NO</t>
        </is>
      </c>
      <c r="K86" s="63">
        <f>TEXT(A86,"MMM-YY")</f>
        <v/>
      </c>
      <c r="L86" s="63">
        <f>HOUR(B86)</f>
        <v/>
      </c>
      <c r="M86" s="63">
        <f>IF(L86&lt;6,"Night",IF(L86&lt;12,"Morning",IF(L86&lt;18,"Afternoon","Evening")))</f>
        <v/>
      </c>
      <c r="N86" s="63">
        <f>TEXT(A86,"DDD")</f>
        <v/>
      </c>
      <c r="O86" s="63">
        <f>WEEKNUM(A86)</f>
        <v/>
      </c>
      <c r="P86" s="63">
        <f>INDEX({"Q1","Q1","Q1","Q2","Q2","Q2","Q3","Q3","Q3","Q4","Q4","Q4"},MONTH(A86))</f>
        <v/>
      </c>
      <c r="W86" s="19" t="n">
        <v>45957</v>
      </c>
    </row>
    <row r="87">
      <c r="A87" s="199" t="n">
        <v>45823</v>
      </c>
      <c r="B87" s="200" t="n">
        <v>0.5347222222222222</v>
      </c>
      <c r="C87" s="63" t="n">
        <v>17</v>
      </c>
      <c r="D87" s="63" t="inlineStr">
        <is>
          <t>Slips, Trips and falls</t>
        </is>
      </c>
      <c r="E87" s="63" t="inlineStr">
        <is>
          <t>Activity</t>
        </is>
      </c>
      <c r="F87" s="63" t="inlineStr">
        <is>
          <t>11- A side</t>
        </is>
      </c>
      <c r="G87" s="63" t="inlineStr">
        <is>
          <t>Open Play</t>
        </is>
      </c>
      <c r="H87" s="63" t="inlineStr">
        <is>
          <t>Knee</t>
        </is>
      </c>
      <c r="I87" s="63" t="n">
        <v>3</v>
      </c>
      <c r="J87" s="63" t="inlineStr">
        <is>
          <t>NO</t>
        </is>
      </c>
      <c r="K87" s="63">
        <f>TEXT(A87,"MMM-YY")</f>
        <v/>
      </c>
      <c r="L87" s="63">
        <f>HOUR(B87)</f>
        <v/>
      </c>
      <c r="M87" s="63">
        <f>IF(L87&lt;6,"Night",IF(L87&lt;12,"Morning",IF(L87&lt;18,"Afternoon","Evening")))</f>
        <v/>
      </c>
      <c r="N87" s="63">
        <f>TEXT(A87,"DDD")</f>
        <v/>
      </c>
      <c r="O87" s="63">
        <f>WEEKNUM(A87)</f>
        <v/>
      </c>
      <c r="P87" s="63">
        <f>INDEX({"Q1","Q1","Q1","Q2","Q2","Q2","Q3","Q3","Q3","Q4","Q4","Q4"},MONTH(A87))</f>
        <v/>
      </c>
      <c r="W87" s="19" t="n">
        <v>45958</v>
      </c>
    </row>
    <row r="88">
      <c r="A88" s="199" t="n">
        <v>45823</v>
      </c>
      <c r="B88" s="200" t="n">
        <v>0.6041666666666666</v>
      </c>
      <c r="C88" s="63" t="n">
        <v>20</v>
      </c>
      <c r="D88" s="63" t="inlineStr">
        <is>
          <t>Slips, Trips and falls</t>
        </is>
      </c>
      <c r="E88" s="63" t="inlineStr">
        <is>
          <t>Activity</t>
        </is>
      </c>
      <c r="F88" s="63" t="inlineStr">
        <is>
          <t>Skate Park</t>
        </is>
      </c>
      <c r="G88" s="63" t="inlineStr">
        <is>
          <t>Open Play</t>
        </is>
      </c>
      <c r="H88" s="63" t="inlineStr">
        <is>
          <t>Knee</t>
        </is>
      </c>
      <c r="I88" s="63" t="n">
        <v>3</v>
      </c>
      <c r="J88" s="63" t="inlineStr">
        <is>
          <t>NO</t>
        </is>
      </c>
      <c r="K88" s="63">
        <f>TEXT(A88,"MMM-YY")</f>
        <v/>
      </c>
      <c r="L88" s="63">
        <f>HOUR(B88)</f>
        <v/>
      </c>
      <c r="M88" s="63">
        <f>IF(L88&lt;6,"Night",IF(L88&lt;12,"Morning",IF(L88&lt;18,"Afternoon","Evening")))</f>
        <v/>
      </c>
      <c r="N88" s="63">
        <f>TEXT(A88,"DDD")</f>
        <v/>
      </c>
      <c r="O88" s="63">
        <f>WEEKNUM(A88)</f>
        <v/>
      </c>
      <c r="P88" s="63">
        <f>INDEX({"Q1","Q1","Q1","Q2","Q2","Q2","Q3","Q3","Q3","Q4","Q4","Q4"},MONTH(A88))</f>
        <v/>
      </c>
      <c r="W88" s="19" t="n">
        <v>45959</v>
      </c>
    </row>
    <row r="89">
      <c r="A89" s="199" t="n">
        <v>45824</v>
      </c>
      <c r="B89" s="200" t="n">
        <v>0.4861111111111111</v>
      </c>
      <c r="C89" s="63" t="n">
        <v>18</v>
      </c>
      <c r="D89" s="63" t="inlineStr">
        <is>
          <t>Muscle Strains</t>
        </is>
      </c>
      <c r="E89" s="63" t="inlineStr">
        <is>
          <t>Activity</t>
        </is>
      </c>
      <c r="F89" s="63" t="inlineStr">
        <is>
          <t>11- A side</t>
        </is>
      </c>
      <c r="G89" s="63" t="inlineStr">
        <is>
          <t>Open Play</t>
        </is>
      </c>
      <c r="H89" s="63" t="inlineStr">
        <is>
          <t>Ankle</t>
        </is>
      </c>
      <c r="I89" s="63" t="n">
        <v>3</v>
      </c>
      <c r="J89" s="63" t="inlineStr">
        <is>
          <t>NO</t>
        </is>
      </c>
      <c r="K89" s="63">
        <f>TEXT(A89,"MMM-YY")</f>
        <v/>
      </c>
      <c r="L89" s="63">
        <f>HOUR(B89)</f>
        <v/>
      </c>
      <c r="M89" s="63">
        <f>IF(L89&lt;6,"Night",IF(L89&lt;12,"Morning",IF(L89&lt;18,"Afternoon","Evening")))</f>
        <v/>
      </c>
      <c r="N89" s="63">
        <f>TEXT(A89,"DDD")</f>
        <v/>
      </c>
      <c r="O89" s="63">
        <f>WEEKNUM(A89)</f>
        <v/>
      </c>
      <c r="P89" s="63">
        <f>INDEX({"Q1","Q1","Q1","Q2","Q2","Q2","Q3","Q3","Q3","Q4","Q4","Q4"},MONTH(A89))</f>
        <v/>
      </c>
      <c r="W89" s="19" t="n">
        <v>45960</v>
      </c>
    </row>
    <row r="90">
      <c r="A90" s="199" t="n">
        <v>45827</v>
      </c>
      <c r="B90" s="200" t="n">
        <v>0.6583333333333333</v>
      </c>
      <c r="C90" s="63" t="n">
        <v>8</v>
      </c>
      <c r="D90" s="63" t="inlineStr">
        <is>
          <t>Player-to-Player</t>
        </is>
      </c>
      <c r="E90" s="63" t="inlineStr">
        <is>
          <t>Activity</t>
        </is>
      </c>
      <c r="F90" s="63" t="inlineStr">
        <is>
          <t>Skate Park</t>
        </is>
      </c>
      <c r="G90" s="63" t="inlineStr">
        <is>
          <t>Girl Skate</t>
        </is>
      </c>
      <c r="H90" s="63" t="inlineStr">
        <is>
          <t>Spinal Injury</t>
        </is>
      </c>
      <c r="I90" s="63" t="n">
        <v>3</v>
      </c>
      <c r="J90" s="63" t="inlineStr">
        <is>
          <t>NO</t>
        </is>
      </c>
      <c r="K90" s="63">
        <f>TEXT(A90,"MMM-YY")</f>
        <v/>
      </c>
      <c r="L90" s="63">
        <f>HOUR(B90)</f>
        <v/>
      </c>
      <c r="M90" s="63">
        <f>IF(L90&lt;6,"Night",IF(L90&lt;12,"Morning",IF(L90&lt;18,"Afternoon","Evening")))</f>
        <v/>
      </c>
      <c r="N90" s="63">
        <f>TEXT(A90,"DDD")</f>
        <v/>
      </c>
      <c r="O90" s="63">
        <f>WEEKNUM(A90)</f>
        <v/>
      </c>
      <c r="P90" s="63">
        <f>INDEX({"Q1","Q1","Q1","Q2","Q2","Q2","Q3","Q3","Q3","Q4","Q4","Q4"},MONTH(A90))</f>
        <v/>
      </c>
      <c r="W90" s="19" t="n">
        <v>45961</v>
      </c>
    </row>
    <row r="91">
      <c r="A91" s="199" t="n">
        <v>45828</v>
      </c>
      <c r="B91" s="200" t="n">
        <v>0.55625</v>
      </c>
      <c r="C91" s="63" t="n">
        <v>19</v>
      </c>
      <c r="D91" s="63" t="inlineStr">
        <is>
          <t>Player-to-Object</t>
        </is>
      </c>
      <c r="E91" s="63" t="inlineStr">
        <is>
          <t>Activity</t>
        </is>
      </c>
      <c r="F91" s="63" t="inlineStr">
        <is>
          <t>Equipment Rooms</t>
        </is>
      </c>
      <c r="G91" s="63" t="inlineStr">
        <is>
          <t>Open Play</t>
        </is>
      </c>
      <c r="H91" s="63" t="inlineStr">
        <is>
          <t>Hand</t>
        </is>
      </c>
      <c r="I91" s="63" t="n">
        <v>3</v>
      </c>
      <c r="J91" s="63" t="inlineStr">
        <is>
          <t>NO</t>
        </is>
      </c>
      <c r="K91" s="63">
        <f>TEXT(A91,"MMM-YY")</f>
        <v/>
      </c>
      <c r="L91" s="63">
        <f>HOUR(B91)</f>
        <v/>
      </c>
      <c r="M91" s="63">
        <f>IF(L91&lt;6,"Night",IF(L91&lt;12,"Morning",IF(L91&lt;18,"Afternoon","Evening")))</f>
        <v/>
      </c>
      <c r="N91" s="63">
        <f>TEXT(A91,"DDD")</f>
        <v/>
      </c>
      <c r="O91" s="63">
        <f>WEEKNUM(A91)</f>
        <v/>
      </c>
      <c r="P91" s="63">
        <f>INDEX({"Q1","Q1","Q1","Q2","Q2","Q2","Q3","Q3","Q3","Q4","Q4","Q4"},MONTH(A91))</f>
        <v/>
      </c>
    </row>
    <row r="92">
      <c r="A92" s="199" t="n">
        <v>45828</v>
      </c>
      <c r="B92" s="200" t="n">
        <v>0.6770833333333334</v>
      </c>
      <c r="C92" s="63" t="n">
        <v>13</v>
      </c>
      <c r="D92" s="63" t="inlineStr">
        <is>
          <t>Slips, Trips and falls</t>
        </is>
      </c>
      <c r="E92" s="63" t="inlineStr">
        <is>
          <t>Activity</t>
        </is>
      </c>
      <c r="F92" s="63" t="inlineStr">
        <is>
          <t>Skate Park</t>
        </is>
      </c>
      <c r="G92" s="63" t="inlineStr">
        <is>
          <t>Girl Skate</t>
        </is>
      </c>
      <c r="H92" s="63" t="inlineStr">
        <is>
          <t>Foot</t>
        </is>
      </c>
      <c r="I92" s="63" t="n">
        <v>3</v>
      </c>
      <c r="J92" s="63" t="inlineStr">
        <is>
          <t>NO</t>
        </is>
      </c>
      <c r="K92" s="63">
        <f>TEXT(A92,"MMM-YY")</f>
        <v/>
      </c>
      <c r="L92" s="63">
        <f>HOUR(B92)</f>
        <v/>
      </c>
      <c r="M92" s="63">
        <f>IF(L92&lt;6,"Night",IF(L92&lt;12,"Morning",IF(L92&lt;18,"Afternoon","Evening")))</f>
        <v/>
      </c>
      <c r="N92" s="63">
        <f>TEXT(A92,"DDD")</f>
        <v/>
      </c>
      <c r="O92" s="63">
        <f>WEEKNUM(A92)</f>
        <v/>
      </c>
      <c r="P92" s="63">
        <f>INDEX({"Q1","Q1","Q1","Q2","Q2","Q2","Q3","Q3","Q3","Q4","Q4","Q4"},MONTH(A92))</f>
        <v/>
      </c>
    </row>
    <row r="93">
      <c r="A93" s="199" t="n">
        <v>45829</v>
      </c>
      <c r="B93" s="200" t="n">
        <v>0.4513888888888889</v>
      </c>
      <c r="C93" s="63" t="n">
        <v>39</v>
      </c>
      <c r="D93" s="63" t="inlineStr">
        <is>
          <t>Slips, Trips and falls</t>
        </is>
      </c>
      <c r="E93" s="63" t="inlineStr">
        <is>
          <t>Activity</t>
        </is>
      </c>
      <c r="F93" s="63" t="inlineStr">
        <is>
          <t>Athletics track</t>
        </is>
      </c>
      <c r="G93" s="63" t="inlineStr">
        <is>
          <t>Open Play</t>
        </is>
      </c>
      <c r="H93" s="63" t="inlineStr">
        <is>
          <t>Foot</t>
        </is>
      </c>
      <c r="I93" s="63" t="n">
        <v>3</v>
      </c>
      <c r="J93" s="63" t="inlineStr">
        <is>
          <t>NO</t>
        </is>
      </c>
      <c r="K93" s="63">
        <f>TEXT(A93,"MMM-YY")</f>
        <v/>
      </c>
      <c r="L93" s="63">
        <f>HOUR(B93)</f>
        <v/>
      </c>
      <c r="M93" s="63">
        <f>IF(L93&lt;6,"Night",IF(L93&lt;12,"Morning",IF(L93&lt;18,"Afternoon","Evening")))</f>
        <v/>
      </c>
      <c r="N93" s="63">
        <f>TEXT(A93,"DDD")</f>
        <v/>
      </c>
      <c r="O93" s="63">
        <f>WEEKNUM(A93)</f>
        <v/>
      </c>
      <c r="P93" s="63">
        <f>INDEX({"Q1","Q1","Q1","Q2","Q2","Q2","Q3","Q3","Q3","Q4","Q4","Q4"},MONTH(A93))</f>
        <v/>
      </c>
    </row>
    <row r="94">
      <c r="A94" s="199" t="n">
        <v>45829</v>
      </c>
      <c r="B94" s="200" t="n">
        <v>0.5555555555555556</v>
      </c>
      <c r="C94" s="63" t="n">
        <v>19</v>
      </c>
      <c r="D94" s="63" t="inlineStr">
        <is>
          <t>Slips, Trips and falls</t>
        </is>
      </c>
      <c r="E94" s="63" t="inlineStr">
        <is>
          <t>Activity</t>
        </is>
      </c>
      <c r="F94" s="63" t="inlineStr">
        <is>
          <t>Basketball</t>
        </is>
      </c>
      <c r="G94" s="63" t="inlineStr">
        <is>
          <t>Open Play</t>
        </is>
      </c>
      <c r="H94" s="63" t="inlineStr">
        <is>
          <t>Wrist</t>
        </is>
      </c>
      <c r="I94" s="63" t="n">
        <v>3</v>
      </c>
      <c r="J94" s="63" t="inlineStr">
        <is>
          <t>NO</t>
        </is>
      </c>
      <c r="K94" s="63">
        <f>TEXT(A94,"MMM-YY")</f>
        <v/>
      </c>
      <c r="L94" s="63">
        <f>HOUR(B94)</f>
        <v/>
      </c>
      <c r="M94" s="63">
        <f>IF(L94&lt;6,"Night",IF(L94&lt;12,"Morning",IF(L94&lt;18,"Afternoon","Evening")))</f>
        <v/>
      </c>
      <c r="N94" s="63">
        <f>TEXT(A94,"DDD")</f>
        <v/>
      </c>
      <c r="O94" s="63">
        <f>WEEKNUM(A94)</f>
        <v/>
      </c>
      <c r="P94" s="63">
        <f>INDEX({"Q1","Q1","Q1","Q2","Q2","Q2","Q3","Q3","Q3","Q4","Q4","Q4"},MONTH(A94))</f>
        <v/>
      </c>
    </row>
    <row r="95">
      <c r="A95" s="199" t="n">
        <v>45829</v>
      </c>
      <c r="B95" s="200" t="n">
        <v>0.6444444444444445</v>
      </c>
      <c r="C95" s="63" t="n">
        <v>12</v>
      </c>
      <c r="D95" s="63" t="inlineStr">
        <is>
          <t>Player-to-Object</t>
        </is>
      </c>
      <c r="E95" s="63" t="inlineStr">
        <is>
          <t>Activity</t>
        </is>
      </c>
      <c r="F95" s="63" t="inlineStr">
        <is>
          <t>11- A side</t>
        </is>
      </c>
      <c r="G95" s="63" t="inlineStr">
        <is>
          <t>Open Play</t>
        </is>
      </c>
      <c r="H95" s="63" t="inlineStr">
        <is>
          <t>Wrist</t>
        </is>
      </c>
      <c r="I95" s="63" t="n">
        <v>3</v>
      </c>
      <c r="J95" s="63" t="inlineStr">
        <is>
          <t>NO</t>
        </is>
      </c>
      <c r="K95" s="63">
        <f>TEXT(A95,"MMM-YY")</f>
        <v/>
      </c>
      <c r="L95" s="63">
        <f>HOUR(B95)</f>
        <v/>
      </c>
      <c r="M95" s="63">
        <f>IF(L95&lt;6,"Night",IF(L95&lt;12,"Morning",IF(L95&lt;18,"Afternoon","Evening")))</f>
        <v/>
      </c>
      <c r="N95" s="63">
        <f>TEXT(A95,"DDD")</f>
        <v/>
      </c>
      <c r="O95" s="63">
        <f>WEEKNUM(A95)</f>
        <v/>
      </c>
      <c r="P95" s="63">
        <f>INDEX({"Q1","Q1","Q1","Q2","Q2","Q2","Q3","Q3","Q3","Q4","Q4","Q4"},MONTH(A95))</f>
        <v/>
      </c>
    </row>
    <row r="96">
      <c r="A96" s="199" t="n">
        <v>45833</v>
      </c>
      <c r="B96" s="200" t="n">
        <v>0.5263888888888889</v>
      </c>
      <c r="C96" s="63" t="n">
        <v>16</v>
      </c>
      <c r="D96" s="63" t="inlineStr">
        <is>
          <t>Player-to-Player</t>
        </is>
      </c>
      <c r="E96" s="63" t="inlineStr">
        <is>
          <t>Activity</t>
        </is>
      </c>
      <c r="F96" s="63" t="inlineStr">
        <is>
          <t>5 A side</t>
        </is>
      </c>
      <c r="G96" s="63" t="inlineStr">
        <is>
          <t>Open Play</t>
        </is>
      </c>
      <c r="H96" s="63" t="inlineStr">
        <is>
          <t>Ankle</t>
        </is>
      </c>
      <c r="I96" s="63" t="n">
        <v>3</v>
      </c>
      <c r="J96" s="63" t="inlineStr">
        <is>
          <t>NO</t>
        </is>
      </c>
      <c r="K96" s="63">
        <f>TEXT(A96,"MMM-YY")</f>
        <v/>
      </c>
      <c r="L96" s="63">
        <f>HOUR(B96)</f>
        <v/>
      </c>
      <c r="M96" s="63">
        <f>IF(L96&lt;6,"Night",IF(L96&lt;12,"Morning",IF(L96&lt;18,"Afternoon","Evening")))</f>
        <v/>
      </c>
      <c r="N96" s="63">
        <f>TEXT(A96,"DDD")</f>
        <v/>
      </c>
      <c r="O96" s="63">
        <f>WEEKNUM(A96)</f>
        <v/>
      </c>
      <c r="P96" s="63">
        <f>INDEX({"Q1","Q1","Q1","Q2","Q2","Q2","Q3","Q3","Q3","Q4","Q4","Q4"},MONTH(A96))</f>
        <v/>
      </c>
    </row>
    <row r="97">
      <c r="A97" s="199" t="n">
        <v>45834</v>
      </c>
      <c r="B97" s="200" t="n">
        <v>0.6916666666666667</v>
      </c>
      <c r="C97" s="63" t="n">
        <v>12</v>
      </c>
      <c r="D97" s="63" t="inlineStr">
        <is>
          <t>Slips, Trips and falls</t>
        </is>
      </c>
      <c r="E97" s="63" t="inlineStr">
        <is>
          <t>Activity</t>
        </is>
      </c>
      <c r="F97" s="63" t="inlineStr">
        <is>
          <t>Skate Park</t>
        </is>
      </c>
      <c r="G97" s="63" t="inlineStr">
        <is>
          <t>Girl Skate</t>
        </is>
      </c>
      <c r="H97" s="63" t="inlineStr">
        <is>
          <t>Lower limb</t>
        </is>
      </c>
      <c r="I97" s="63" t="n">
        <v>3</v>
      </c>
      <c r="J97" s="63" t="inlineStr">
        <is>
          <t>NO</t>
        </is>
      </c>
      <c r="K97" s="63">
        <f>TEXT(A97,"MMM-YY")</f>
        <v/>
      </c>
      <c r="L97" s="63">
        <f>HOUR(B97)</f>
        <v/>
      </c>
      <c r="M97" s="63">
        <f>IF(L97&lt;6,"Night",IF(L97&lt;12,"Morning",IF(L97&lt;18,"Afternoon","Evening")))</f>
        <v/>
      </c>
      <c r="N97" s="63">
        <f>TEXT(A97,"DDD")</f>
        <v/>
      </c>
      <c r="O97" s="63">
        <f>WEEKNUM(A97)</f>
        <v/>
      </c>
      <c r="P97" s="63">
        <f>INDEX({"Q1","Q1","Q1","Q2","Q2","Q2","Q3","Q3","Q3","Q4","Q4","Q4"},MONTH(A97))</f>
        <v/>
      </c>
    </row>
    <row r="98">
      <c r="A98" s="199" t="n">
        <v>45835</v>
      </c>
      <c r="B98" s="200" t="n">
        <v>0.6875</v>
      </c>
      <c r="C98" s="63" t="n">
        <v>12</v>
      </c>
      <c r="D98" s="63" t="inlineStr">
        <is>
          <t>Player-to-Player</t>
        </is>
      </c>
      <c r="E98" s="63" t="inlineStr">
        <is>
          <t>Activity</t>
        </is>
      </c>
      <c r="F98" s="63" t="inlineStr">
        <is>
          <t>11- A side</t>
        </is>
      </c>
      <c r="G98" s="63" t="inlineStr">
        <is>
          <t>Open Play</t>
        </is>
      </c>
      <c r="H98" s="63" t="inlineStr">
        <is>
          <t>Hand</t>
        </is>
      </c>
      <c r="I98" s="63" t="n">
        <v>3</v>
      </c>
      <c r="J98" s="63" t="inlineStr">
        <is>
          <t>NO</t>
        </is>
      </c>
      <c r="K98" s="63">
        <f>TEXT(A98,"MMM-YY")</f>
        <v/>
      </c>
      <c r="L98" s="63">
        <f>HOUR(B98)</f>
        <v/>
      </c>
      <c r="M98" s="63">
        <f>IF(L98&lt;6,"Night",IF(L98&lt;12,"Morning",IF(L98&lt;18,"Afternoon","Evening")))</f>
        <v/>
      </c>
      <c r="N98" s="63">
        <f>TEXT(A98,"DDD")</f>
        <v/>
      </c>
      <c r="O98" s="63">
        <f>WEEKNUM(A98)</f>
        <v/>
      </c>
      <c r="P98" s="63">
        <f>INDEX({"Q1","Q1","Q1","Q2","Q2","Q2","Q3","Q3","Q3","Q4","Q4","Q4"},MONTH(A98))</f>
        <v/>
      </c>
    </row>
    <row r="99">
      <c r="A99" s="199" t="n">
        <v>45836</v>
      </c>
      <c r="B99" s="200" t="n">
        <v>0.6388888888888888</v>
      </c>
      <c r="C99" s="63" t="n">
        <v>14</v>
      </c>
      <c r="D99" s="63" t="inlineStr">
        <is>
          <t>Slips, Trips and falls</t>
        </is>
      </c>
      <c r="E99" s="63" t="inlineStr">
        <is>
          <t>Activity</t>
        </is>
      </c>
      <c r="F99" s="63" t="inlineStr">
        <is>
          <t>11- A side</t>
        </is>
      </c>
      <c r="G99" s="63" t="inlineStr">
        <is>
          <t>Open Play</t>
        </is>
      </c>
      <c r="H99" s="63" t="inlineStr">
        <is>
          <t>Wrist</t>
        </is>
      </c>
      <c r="I99" s="63" t="n">
        <v>3</v>
      </c>
      <c r="J99" s="63" t="inlineStr">
        <is>
          <t>NO</t>
        </is>
      </c>
      <c r="K99" s="63">
        <f>TEXT(A99,"MMM-YY")</f>
        <v/>
      </c>
      <c r="L99" s="63">
        <f>HOUR(B99)</f>
        <v/>
      </c>
      <c r="M99" s="63">
        <f>IF(L99&lt;6,"Night",IF(L99&lt;12,"Morning",IF(L99&lt;18,"Afternoon","Evening")))</f>
        <v/>
      </c>
      <c r="N99" s="63">
        <f>TEXT(A99,"DDD")</f>
        <v/>
      </c>
      <c r="O99" s="63">
        <f>WEEKNUM(A99)</f>
        <v/>
      </c>
      <c r="P99" s="63">
        <f>INDEX({"Q1","Q1","Q1","Q2","Q2","Q2","Q3","Q3","Q3","Q4","Q4","Q4"},MONTH(A99))</f>
        <v/>
      </c>
    </row>
    <row r="100">
      <c r="A100" s="199" t="n">
        <v>45837</v>
      </c>
      <c r="B100" s="200" t="n">
        <v>0.5652777777777778</v>
      </c>
      <c r="C100" s="63" t="n">
        <v>18</v>
      </c>
      <c r="D100" s="63" t="inlineStr">
        <is>
          <t>Player-to-Player</t>
        </is>
      </c>
      <c r="E100" s="63" t="inlineStr">
        <is>
          <t>Activity</t>
        </is>
      </c>
      <c r="F100" s="63" t="inlineStr">
        <is>
          <t>11- A side</t>
        </is>
      </c>
      <c r="G100" s="63" t="inlineStr">
        <is>
          <t>Open Play</t>
        </is>
      </c>
      <c r="H100" s="63" t="inlineStr">
        <is>
          <t>Ankle</t>
        </is>
      </c>
      <c r="I100" s="63" t="n">
        <v>3</v>
      </c>
      <c r="J100" s="63" t="inlineStr">
        <is>
          <t>NO</t>
        </is>
      </c>
      <c r="K100" s="63">
        <f>TEXT(A100,"MMM-YY")</f>
        <v/>
      </c>
      <c r="L100" s="63">
        <f>HOUR(B100)</f>
        <v/>
      </c>
      <c r="M100" s="63">
        <f>IF(L100&lt;6,"Night",IF(L100&lt;12,"Morning",IF(L100&lt;18,"Afternoon","Evening")))</f>
        <v/>
      </c>
      <c r="N100" s="63">
        <f>TEXT(A100,"DDD")</f>
        <v/>
      </c>
      <c r="O100" s="63">
        <f>WEEKNUM(A100)</f>
        <v/>
      </c>
      <c r="P100" s="63">
        <f>INDEX({"Q1","Q1","Q1","Q2","Q2","Q2","Q3","Q3","Q3","Q4","Q4","Q4"},MONTH(A100))</f>
        <v/>
      </c>
    </row>
    <row r="101">
      <c r="A101" s="199" t="n">
        <v>45838</v>
      </c>
      <c r="B101" s="200" t="n">
        <v>0.5506944444444445</v>
      </c>
      <c r="C101" s="63" t="n">
        <v>12</v>
      </c>
      <c r="D101" s="63" t="inlineStr">
        <is>
          <t>Player-to-Player</t>
        </is>
      </c>
      <c r="E101" s="63" t="inlineStr">
        <is>
          <t>Activity</t>
        </is>
      </c>
      <c r="F101" s="63" t="inlineStr">
        <is>
          <t>Skate Park</t>
        </is>
      </c>
      <c r="G101" s="63" t="inlineStr">
        <is>
          <t>Open Play</t>
        </is>
      </c>
      <c r="H101" s="63" t="inlineStr">
        <is>
          <t>Foot</t>
        </is>
      </c>
      <c r="I101" s="63" t="n">
        <v>3</v>
      </c>
      <c r="J101" s="63" t="inlineStr">
        <is>
          <t>NO</t>
        </is>
      </c>
      <c r="K101" s="63">
        <f>TEXT(A101,"MMM-YY")</f>
        <v/>
      </c>
      <c r="L101" s="63">
        <f>HOUR(B101)</f>
        <v/>
      </c>
      <c r="M101" s="63">
        <f>IF(L101&lt;6,"Night",IF(L101&lt;12,"Morning",IF(L101&lt;18,"Afternoon","Evening")))</f>
        <v/>
      </c>
      <c r="N101" s="63">
        <f>TEXT(A101,"DDD")</f>
        <v/>
      </c>
      <c r="O101" s="63">
        <f>WEEKNUM(A101)</f>
        <v/>
      </c>
      <c r="P101" s="63">
        <f>INDEX({"Q1","Q1","Q1","Q2","Q2","Q2","Q3","Q3","Q3","Q4","Q4","Q4"},MONTH(A101))</f>
        <v/>
      </c>
    </row>
    <row r="102">
      <c r="A102" s="199" t="n">
        <v>45839</v>
      </c>
      <c r="B102" s="200" t="n">
        <v>0.4375</v>
      </c>
      <c r="C102" s="63" t="n">
        <v>26</v>
      </c>
      <c r="D102" s="63" t="inlineStr">
        <is>
          <t>Assault</t>
        </is>
      </c>
      <c r="E102" s="63" t="inlineStr">
        <is>
          <t>NONE SPORTS CENTER</t>
        </is>
      </c>
      <c r="F102" s="63" t="inlineStr">
        <is>
          <t>P GATE</t>
        </is>
      </c>
      <c r="G102" s="63" t="inlineStr">
        <is>
          <t>Open Play</t>
        </is>
      </c>
      <c r="H102" s="63" t="inlineStr">
        <is>
          <t>Facial Injury</t>
        </is>
      </c>
      <c r="I102" s="63" t="n">
        <v>3</v>
      </c>
      <c r="J102" s="63" t="inlineStr">
        <is>
          <t>NO</t>
        </is>
      </c>
      <c r="K102" s="63">
        <f>TEXT(A102,"MMM-YY")</f>
        <v/>
      </c>
      <c r="L102" s="63">
        <f>HOUR(B102)</f>
        <v/>
      </c>
      <c r="M102" s="63">
        <f>IF(L102&lt;6,"Night",IF(L102&lt;12,"Morning",IF(L102&lt;18,"Afternoon","Evening")))</f>
        <v/>
      </c>
      <c r="N102" s="63">
        <f>TEXT(A102,"DDD")</f>
        <v/>
      </c>
      <c r="O102" s="63">
        <f>WEEKNUM(A102)</f>
        <v/>
      </c>
      <c r="P102" s="63">
        <f>INDEX({"Q1","Q1","Q1","Q2","Q2","Q2","Q3","Q3","Q3","Q4","Q4","Q4"},MONTH(A102))</f>
        <v/>
      </c>
    </row>
    <row r="103">
      <c r="A103" s="199" t="n">
        <v>45839</v>
      </c>
      <c r="B103" s="200" t="n">
        <v>0.5340277777777778</v>
      </c>
      <c r="C103" s="63" t="n">
        <v>32</v>
      </c>
      <c r="D103" s="63" t="inlineStr">
        <is>
          <t>Cleaning Agents</t>
        </is>
      </c>
      <c r="E103" s="63" t="inlineStr">
        <is>
          <t>Equipment</t>
        </is>
      </c>
      <c r="F103" s="63" t="inlineStr">
        <is>
          <t>Equipment Rooms</t>
        </is>
      </c>
      <c r="G103" s="63" t="inlineStr">
        <is>
          <t>Open Play</t>
        </is>
      </c>
      <c r="H103" s="63" t="inlineStr">
        <is>
          <t>Facial Injury</t>
        </is>
      </c>
      <c r="I103" s="63" t="n">
        <v>3</v>
      </c>
      <c r="J103" s="63" t="inlineStr">
        <is>
          <t>NO</t>
        </is>
      </c>
      <c r="K103" s="63">
        <f>TEXT(A103,"MMM-YY")</f>
        <v/>
      </c>
      <c r="L103" s="63">
        <f>HOUR(B103)</f>
        <v/>
      </c>
      <c r="M103" s="63">
        <f>IF(L103&lt;6,"Night",IF(L103&lt;12,"Morning",IF(L103&lt;18,"Afternoon","Evening")))</f>
        <v/>
      </c>
      <c r="N103" s="63">
        <f>TEXT(A103,"DDD")</f>
        <v/>
      </c>
      <c r="O103" s="63">
        <f>WEEKNUM(A103)</f>
        <v/>
      </c>
      <c r="P103" s="63">
        <f>INDEX({"Q1","Q1","Q1","Q2","Q2","Q2","Q3","Q3","Q3","Q4","Q4","Q4"},MONTH(A103))</f>
        <v/>
      </c>
    </row>
    <row r="104">
      <c r="A104" s="199" t="n">
        <v>45840</v>
      </c>
      <c r="B104" s="200" t="n">
        <v>0.7013888888888888</v>
      </c>
      <c r="C104" s="63" t="n">
        <v>20</v>
      </c>
      <c r="D104" s="63" t="inlineStr">
        <is>
          <t>Slips, Trips and falls</t>
        </is>
      </c>
      <c r="E104" s="63" t="inlineStr">
        <is>
          <t>Activity</t>
        </is>
      </c>
      <c r="F104" s="63" t="inlineStr">
        <is>
          <t>11- A side</t>
        </is>
      </c>
      <c r="G104" s="63" t="inlineStr">
        <is>
          <t>Open Play</t>
        </is>
      </c>
      <c r="H104" s="63" t="inlineStr">
        <is>
          <t>Knee</t>
        </is>
      </c>
      <c r="I104" s="63" t="n">
        <v>3</v>
      </c>
      <c r="J104" s="63" t="inlineStr">
        <is>
          <t>NO</t>
        </is>
      </c>
      <c r="K104" s="63">
        <f>TEXT(A104,"MMM-YY")</f>
        <v/>
      </c>
      <c r="L104" s="63">
        <f>HOUR(B104)</f>
        <v/>
      </c>
      <c r="M104" s="63">
        <f>IF(L104&lt;6,"Night",IF(L104&lt;12,"Morning",IF(L104&lt;18,"Afternoon","Evening")))</f>
        <v/>
      </c>
      <c r="N104" s="63">
        <f>TEXT(A104,"DDD")</f>
        <v/>
      </c>
      <c r="O104" s="63">
        <f>WEEKNUM(A104)</f>
        <v/>
      </c>
      <c r="P104" s="63">
        <f>INDEX({"Q1","Q1","Q1","Q2","Q2","Q2","Q3","Q3","Q3","Q4","Q4","Q4"},MONTH(A104))</f>
        <v/>
      </c>
    </row>
    <row r="105">
      <c r="A105" s="199" t="n">
        <v>45841</v>
      </c>
      <c r="B105" s="200" t="n">
        <v>0.5930555555555556</v>
      </c>
      <c r="C105" s="63" t="n">
        <v>13</v>
      </c>
      <c r="D105" s="63" t="inlineStr">
        <is>
          <t>Slips, Trips and falls</t>
        </is>
      </c>
      <c r="E105" s="63" t="inlineStr">
        <is>
          <t>Activity</t>
        </is>
      </c>
      <c r="F105" s="63" t="inlineStr">
        <is>
          <t>Skate Park</t>
        </is>
      </c>
      <c r="G105" s="63" t="inlineStr">
        <is>
          <t>Open Play</t>
        </is>
      </c>
      <c r="H105" s="63" t="inlineStr">
        <is>
          <t>Ankle</t>
        </is>
      </c>
      <c r="I105" s="63" t="n">
        <v>3</v>
      </c>
      <c r="J105" s="63" t="inlineStr">
        <is>
          <t>NO</t>
        </is>
      </c>
      <c r="K105" s="63">
        <f>TEXT(A105,"MMM-YY")</f>
        <v/>
      </c>
      <c r="L105" s="63">
        <f>HOUR(B105)</f>
        <v/>
      </c>
      <c r="M105" s="63">
        <f>IF(L105&lt;6,"Night",IF(L105&lt;12,"Morning",IF(L105&lt;18,"Afternoon","Evening")))</f>
        <v/>
      </c>
      <c r="N105" s="63">
        <f>TEXT(A105,"DDD")</f>
        <v/>
      </c>
      <c r="O105" s="63">
        <f>WEEKNUM(A105)</f>
        <v/>
      </c>
      <c r="P105" s="63">
        <f>INDEX({"Q1","Q1","Q1","Q2","Q2","Q2","Q3","Q3","Q3","Q4","Q4","Q4"},MONTH(A105))</f>
        <v/>
      </c>
    </row>
    <row r="106">
      <c r="A106" s="199" t="n">
        <v>45841</v>
      </c>
      <c r="B106" s="200" t="n">
        <v>0.6458333333333334</v>
      </c>
      <c r="C106" s="63" t="n">
        <v>17</v>
      </c>
      <c r="D106" s="63" t="inlineStr">
        <is>
          <t>Player-to-Player</t>
        </is>
      </c>
      <c r="E106" s="63" t="inlineStr">
        <is>
          <t>Activity</t>
        </is>
      </c>
      <c r="F106" s="63" t="inlineStr">
        <is>
          <t>11- A side</t>
        </is>
      </c>
      <c r="G106" s="63" t="inlineStr">
        <is>
          <t>Open Play</t>
        </is>
      </c>
      <c r="H106" s="63" t="inlineStr">
        <is>
          <t>Foot</t>
        </is>
      </c>
      <c r="I106" s="63" t="n">
        <v>3</v>
      </c>
      <c r="J106" s="63" t="inlineStr">
        <is>
          <t>NO</t>
        </is>
      </c>
      <c r="K106" s="63">
        <f>TEXT(A106,"MMM-YY")</f>
        <v/>
      </c>
      <c r="L106" s="63">
        <f>HOUR(B106)</f>
        <v/>
      </c>
      <c r="M106" s="63">
        <f>IF(L106&lt;6,"Night",IF(L106&lt;12,"Morning",IF(L106&lt;18,"Afternoon","Evening")))</f>
        <v/>
      </c>
      <c r="N106" s="63">
        <f>TEXT(A106,"DDD")</f>
        <v/>
      </c>
      <c r="O106" s="63">
        <f>WEEKNUM(A106)</f>
        <v/>
      </c>
      <c r="P106" s="63">
        <f>INDEX({"Q1","Q1","Q1","Q2","Q2","Q2","Q3","Q3","Q3","Q4","Q4","Q4"},MONTH(A106))</f>
        <v/>
      </c>
    </row>
    <row r="107">
      <c r="A107" s="199" t="n">
        <v>45851</v>
      </c>
      <c r="B107" s="200" t="n">
        <v>0.5020833333333333</v>
      </c>
      <c r="C107" s="63" t="n">
        <v>17</v>
      </c>
      <c r="D107" s="63" t="inlineStr">
        <is>
          <t>Medical</t>
        </is>
      </c>
      <c r="E107" s="63" t="inlineStr">
        <is>
          <t>Activity</t>
        </is>
      </c>
      <c r="F107" s="63" t="inlineStr">
        <is>
          <t>11- A side</t>
        </is>
      </c>
      <c r="G107" s="63" t="inlineStr">
        <is>
          <t>Her Game</t>
        </is>
      </c>
      <c r="H107" s="63" t="inlineStr">
        <is>
          <t>Medical</t>
        </is>
      </c>
      <c r="I107" s="63" t="n">
        <v>3</v>
      </c>
      <c r="J107" s="63" t="inlineStr">
        <is>
          <t>NO</t>
        </is>
      </c>
      <c r="K107" s="63">
        <f>TEXT(A107,"MMM-YY")</f>
        <v/>
      </c>
      <c r="L107" s="63">
        <f>HOUR(B107)</f>
        <v/>
      </c>
      <c r="M107" s="63">
        <f>IF(L107&lt;6,"Night",IF(L107&lt;12,"Morning",IF(L107&lt;18,"Afternoon","Evening")))</f>
        <v/>
      </c>
      <c r="N107" s="63">
        <f>TEXT(A107,"DDD")</f>
        <v/>
      </c>
      <c r="O107" s="63">
        <f>WEEKNUM(A107)</f>
        <v/>
      </c>
      <c r="P107" s="63">
        <f>INDEX({"Q1","Q1","Q1","Q2","Q2","Q2","Q3","Q3","Q3","Q4","Q4","Q4"},MONTH(A107))</f>
        <v/>
      </c>
    </row>
    <row r="108">
      <c r="A108" s="199" t="n">
        <v>45855</v>
      </c>
      <c r="B108" s="200" t="n">
        <v>0.4833333333333333</v>
      </c>
      <c r="C108" s="63" t="n">
        <v>11</v>
      </c>
      <c r="D108" s="63" t="inlineStr">
        <is>
          <t>Slips, Trips and falls</t>
        </is>
      </c>
      <c r="E108" s="63" t="inlineStr">
        <is>
          <t>Activity</t>
        </is>
      </c>
      <c r="F108" s="63" t="inlineStr">
        <is>
          <t>Skate Park</t>
        </is>
      </c>
      <c r="G108" s="63" t="inlineStr">
        <is>
          <t>Girl Skate</t>
        </is>
      </c>
      <c r="H108" s="63" t="inlineStr">
        <is>
          <t>Hip</t>
        </is>
      </c>
      <c r="I108" s="63" t="n">
        <v>3</v>
      </c>
      <c r="J108" s="63" t="inlineStr">
        <is>
          <t>NO</t>
        </is>
      </c>
      <c r="K108" s="63">
        <f>TEXT(A108,"MMM-YY")</f>
        <v/>
      </c>
      <c r="L108" s="63">
        <f>HOUR(B108)</f>
        <v/>
      </c>
      <c r="M108" s="63">
        <f>IF(L108&lt;6,"Night",IF(L108&lt;12,"Morning",IF(L108&lt;18,"Afternoon","Evening")))</f>
        <v/>
      </c>
      <c r="N108" s="63">
        <f>TEXT(A108,"DDD")</f>
        <v/>
      </c>
      <c r="O108" s="63">
        <f>WEEKNUM(A108)</f>
        <v/>
      </c>
      <c r="P108" s="63">
        <f>INDEX({"Q1","Q1","Q1","Q2","Q2","Q2","Q3","Q3","Q3","Q4","Q4","Q4"},MONTH(A108))</f>
        <v/>
      </c>
    </row>
    <row r="109">
      <c r="A109" s="199" t="n">
        <v>45855</v>
      </c>
      <c r="B109" s="200" t="n">
        <v>0.7194444444444444</v>
      </c>
      <c r="C109" s="63" t="n">
        <v>20</v>
      </c>
      <c r="D109" s="63" t="inlineStr">
        <is>
          <t>Player-to-Player</t>
        </is>
      </c>
      <c r="E109" s="63" t="inlineStr">
        <is>
          <t>Activity</t>
        </is>
      </c>
      <c r="F109" s="63" t="inlineStr">
        <is>
          <t>Skate Park</t>
        </is>
      </c>
      <c r="G109" s="63" t="inlineStr">
        <is>
          <t>Open Play</t>
        </is>
      </c>
      <c r="H109" s="63" t="inlineStr">
        <is>
          <t>Hip</t>
        </is>
      </c>
      <c r="I109" s="63" t="n">
        <v>3</v>
      </c>
      <c r="J109" s="63" t="inlineStr">
        <is>
          <t>NO</t>
        </is>
      </c>
      <c r="K109" s="63">
        <f>TEXT(A109,"MMM-YY")</f>
        <v/>
      </c>
      <c r="L109" s="63">
        <f>HOUR(B109)</f>
        <v/>
      </c>
      <c r="M109" s="63">
        <f>IF(L109&lt;6,"Night",IF(L109&lt;12,"Morning",IF(L109&lt;18,"Afternoon","Evening")))</f>
        <v/>
      </c>
      <c r="N109" s="63">
        <f>TEXT(A109,"DDD")</f>
        <v/>
      </c>
      <c r="O109" s="63">
        <f>WEEKNUM(A109)</f>
        <v/>
      </c>
      <c r="P109" s="63">
        <f>INDEX({"Q1","Q1","Q1","Q2","Q2","Q2","Q3","Q3","Q3","Q4","Q4","Q4"},MONTH(A109))</f>
        <v/>
      </c>
    </row>
    <row r="110">
      <c r="A110" s="199" t="n">
        <v>45857</v>
      </c>
      <c r="B110" s="200" t="n">
        <v>0.4229166666666667</v>
      </c>
      <c r="C110" s="63" t="n">
        <v>16</v>
      </c>
      <c r="D110" s="63" t="inlineStr">
        <is>
          <t>Player-to-Player</t>
        </is>
      </c>
      <c r="E110" s="63" t="inlineStr">
        <is>
          <t>Activity</t>
        </is>
      </c>
      <c r="F110" s="63" t="inlineStr">
        <is>
          <t>11- A side</t>
        </is>
      </c>
      <c r="G110" s="63" t="inlineStr">
        <is>
          <t>Open Play</t>
        </is>
      </c>
      <c r="H110" s="63" t="inlineStr">
        <is>
          <t>Abdominal</t>
        </is>
      </c>
      <c r="I110" s="63" t="n">
        <v>3</v>
      </c>
      <c r="J110" s="63" t="inlineStr">
        <is>
          <t>NO</t>
        </is>
      </c>
      <c r="K110" s="63">
        <f>TEXT(A110,"MMM-YY")</f>
        <v/>
      </c>
      <c r="L110" s="63">
        <f>HOUR(B110)</f>
        <v/>
      </c>
      <c r="M110" s="63">
        <f>IF(L110&lt;6,"Night",IF(L110&lt;12,"Morning",IF(L110&lt;18,"Afternoon","Evening")))</f>
        <v/>
      </c>
      <c r="N110" s="63">
        <f>TEXT(A110,"DDD")</f>
        <v/>
      </c>
      <c r="O110" s="63">
        <f>WEEKNUM(A110)</f>
        <v/>
      </c>
      <c r="P110" s="63">
        <f>INDEX({"Q1","Q1","Q1","Q2","Q2","Q2","Q3","Q3","Q3","Q4","Q4","Q4"},MONTH(A110))</f>
        <v/>
      </c>
    </row>
    <row r="111">
      <c r="A111" s="199" t="n">
        <v>45857</v>
      </c>
      <c r="B111" s="200" t="n">
        <v>0.4409722222222222</v>
      </c>
      <c r="C111" s="63" t="n">
        <v>16</v>
      </c>
      <c r="D111" s="63" t="inlineStr">
        <is>
          <t>Player-to-Player</t>
        </is>
      </c>
      <c r="E111" s="63" t="inlineStr">
        <is>
          <t>Activity</t>
        </is>
      </c>
      <c r="F111" s="63" t="inlineStr">
        <is>
          <t>11- A side</t>
        </is>
      </c>
      <c r="G111" s="63" t="inlineStr">
        <is>
          <t>Open Play</t>
        </is>
      </c>
      <c r="H111" s="63" t="inlineStr">
        <is>
          <t>Facial Injury</t>
        </is>
      </c>
      <c r="I111" s="63" t="n">
        <v>3</v>
      </c>
      <c r="J111" s="63" t="inlineStr">
        <is>
          <t>NO</t>
        </is>
      </c>
      <c r="K111" s="63">
        <f>TEXT(A111,"MMM-YY")</f>
        <v/>
      </c>
      <c r="L111" s="63">
        <f>HOUR(B111)</f>
        <v/>
      </c>
      <c r="M111" s="63">
        <f>IF(L111&lt;6,"Night",IF(L111&lt;12,"Morning",IF(L111&lt;18,"Afternoon","Evening")))</f>
        <v/>
      </c>
      <c r="N111" s="63">
        <f>TEXT(A111,"DDD")</f>
        <v/>
      </c>
      <c r="O111" s="63">
        <f>WEEKNUM(A111)</f>
        <v/>
      </c>
      <c r="P111" s="63">
        <f>INDEX({"Q1","Q1","Q1","Q2","Q2","Q2","Q3","Q3","Q3","Q4","Q4","Q4"},MONTH(A111))</f>
        <v/>
      </c>
    </row>
    <row r="112">
      <c r="A112" s="199" t="n">
        <v>45857</v>
      </c>
      <c r="B112" s="200" t="n">
        <v>0.4708333333333333</v>
      </c>
      <c r="C112" s="63" t="n">
        <v>14</v>
      </c>
      <c r="D112" s="63" t="inlineStr">
        <is>
          <t>Player-to-Player</t>
        </is>
      </c>
      <c r="E112" s="63" t="inlineStr">
        <is>
          <t>Activity</t>
        </is>
      </c>
      <c r="F112" s="63" t="inlineStr">
        <is>
          <t>11- A side</t>
        </is>
      </c>
      <c r="G112" s="63" t="inlineStr">
        <is>
          <t>Open Play</t>
        </is>
      </c>
      <c r="H112" s="63" t="inlineStr">
        <is>
          <t>Foot</t>
        </is>
      </c>
      <c r="I112" s="63" t="n">
        <v>3</v>
      </c>
      <c r="J112" s="63" t="inlineStr">
        <is>
          <t>NO</t>
        </is>
      </c>
      <c r="K112" s="63">
        <f>TEXT(A112,"MMM-YY")</f>
        <v/>
      </c>
      <c r="L112" s="63">
        <f>HOUR(B112)</f>
        <v/>
      </c>
      <c r="M112" s="63">
        <f>IF(L112&lt;6,"Night",IF(L112&lt;12,"Morning",IF(L112&lt;18,"Afternoon","Evening")))</f>
        <v/>
      </c>
      <c r="N112" s="63">
        <f>TEXT(A112,"DDD")</f>
        <v/>
      </c>
      <c r="O112" s="63">
        <f>WEEKNUM(A112)</f>
        <v/>
      </c>
      <c r="P112" s="63">
        <f>INDEX({"Q1","Q1","Q1","Q2","Q2","Q2","Q3","Q3","Q3","Q4","Q4","Q4"},MONTH(A112))</f>
        <v/>
      </c>
    </row>
    <row r="113">
      <c r="A113" s="199" t="n">
        <v>45857</v>
      </c>
      <c r="B113" s="200" t="n">
        <v>0.5625</v>
      </c>
      <c r="C113" s="63" t="n">
        <v>17</v>
      </c>
      <c r="D113" s="63" t="inlineStr">
        <is>
          <t>Player-to-Object</t>
        </is>
      </c>
      <c r="E113" s="63" t="inlineStr">
        <is>
          <t>Activity</t>
        </is>
      </c>
      <c r="F113" s="63" t="inlineStr">
        <is>
          <t>11- A side</t>
        </is>
      </c>
      <c r="G113" s="63" t="inlineStr">
        <is>
          <t>Open Play</t>
        </is>
      </c>
      <c r="H113" s="63" t="inlineStr">
        <is>
          <t>Knee</t>
        </is>
      </c>
      <c r="I113" s="63" t="n">
        <v>3</v>
      </c>
      <c r="J113" s="63" t="inlineStr">
        <is>
          <t>NO</t>
        </is>
      </c>
      <c r="K113" s="63">
        <f>TEXT(A113,"MMM-YY")</f>
        <v/>
      </c>
      <c r="L113" s="63">
        <f>HOUR(B113)</f>
        <v/>
      </c>
      <c r="M113" s="63">
        <f>IF(L113&lt;6,"Night",IF(L113&lt;12,"Morning",IF(L113&lt;18,"Afternoon","Evening")))</f>
        <v/>
      </c>
      <c r="N113" s="63">
        <f>TEXT(A113,"DDD")</f>
        <v/>
      </c>
      <c r="O113" s="63">
        <f>WEEKNUM(A113)</f>
        <v/>
      </c>
      <c r="P113" s="63">
        <f>INDEX({"Q1","Q1","Q1","Q2","Q2","Q2","Q3","Q3","Q3","Q4","Q4","Q4"},MONTH(A113))</f>
        <v/>
      </c>
    </row>
    <row r="114">
      <c r="A114" s="199" t="n">
        <v>45860</v>
      </c>
      <c r="B114" s="200" t="n">
        <v>0.6618055555555555</v>
      </c>
      <c r="C114" s="63" t="n">
        <v>11</v>
      </c>
      <c r="D114" s="63" t="inlineStr">
        <is>
          <t>Player-to-Object</t>
        </is>
      </c>
      <c r="E114" s="63" t="inlineStr">
        <is>
          <t>Activity</t>
        </is>
      </c>
      <c r="F114" s="63" t="inlineStr">
        <is>
          <t>Skate Park</t>
        </is>
      </c>
      <c r="G114" s="63" t="inlineStr">
        <is>
          <t>Girl Skate</t>
        </is>
      </c>
      <c r="H114" s="63" t="inlineStr">
        <is>
          <t>Knee</t>
        </is>
      </c>
      <c r="I114" s="63" t="n">
        <v>3</v>
      </c>
      <c r="J114" s="63" t="inlineStr">
        <is>
          <t>NO</t>
        </is>
      </c>
      <c r="K114" s="63">
        <f>TEXT(A114,"MMM-YY")</f>
        <v/>
      </c>
      <c r="L114" s="63">
        <f>HOUR(B114)</f>
        <v/>
      </c>
      <c r="M114" s="63">
        <f>IF(L114&lt;6,"Night",IF(L114&lt;12,"Morning",IF(L114&lt;18,"Afternoon","Evening")))</f>
        <v/>
      </c>
      <c r="N114" s="63">
        <f>TEXT(A114,"DDD")</f>
        <v/>
      </c>
      <c r="O114" s="63">
        <f>WEEKNUM(A114)</f>
        <v/>
      </c>
      <c r="P114" s="63">
        <f>INDEX({"Q1","Q1","Q1","Q2","Q2","Q2","Q3","Q3","Q3","Q4","Q4","Q4"},MONTH(A114))</f>
        <v/>
      </c>
    </row>
    <row r="115">
      <c r="A115" s="199" t="n">
        <v>45864</v>
      </c>
      <c r="B115" s="200" t="n">
        <v>0.5347222222222222</v>
      </c>
      <c r="C115" s="63" t="n">
        <v>24</v>
      </c>
      <c r="D115" s="63" t="inlineStr">
        <is>
          <t>Player-to-Player</t>
        </is>
      </c>
      <c r="E115" s="63" t="inlineStr">
        <is>
          <t>Activity</t>
        </is>
      </c>
      <c r="F115" s="63" t="inlineStr">
        <is>
          <t>JDI Studio</t>
        </is>
      </c>
      <c r="G115" s="63" t="inlineStr">
        <is>
          <t>Kicking Boxing</t>
        </is>
      </c>
      <c r="H115" s="63" t="inlineStr">
        <is>
          <t>Lower limb</t>
        </is>
      </c>
      <c r="I115" s="63" t="n">
        <v>3</v>
      </c>
      <c r="J115" s="63" t="inlineStr">
        <is>
          <t>NO</t>
        </is>
      </c>
      <c r="K115" s="63">
        <f>TEXT(A115,"MMM-YY")</f>
        <v/>
      </c>
      <c r="L115" s="63">
        <f>HOUR(B115)</f>
        <v/>
      </c>
      <c r="M115" s="63">
        <f>IF(L115&lt;6,"Night",IF(L115&lt;12,"Morning",IF(L115&lt;18,"Afternoon","Evening")))</f>
        <v/>
      </c>
      <c r="N115" s="63">
        <f>TEXT(A115,"DDD")</f>
        <v/>
      </c>
      <c r="O115" s="63">
        <f>WEEKNUM(A115)</f>
        <v/>
      </c>
      <c r="P115" s="63">
        <f>INDEX({"Q1","Q1","Q1","Q2","Q2","Q2","Q3","Q3","Q3","Q4","Q4","Q4"},MONTH(A115))</f>
        <v/>
      </c>
    </row>
    <row r="116">
      <c r="A116" s="199" t="n">
        <v>45868</v>
      </c>
      <c r="B116" s="200" t="n">
        <v>0.4826388888888889</v>
      </c>
      <c r="C116" s="63" t="n">
        <v>66</v>
      </c>
      <c r="D116" s="63" t="inlineStr">
        <is>
          <t>Player-to-Player</t>
        </is>
      </c>
      <c r="E116" s="63" t="inlineStr">
        <is>
          <t>Activity</t>
        </is>
      </c>
      <c r="F116" s="63" t="inlineStr">
        <is>
          <t>11- A side</t>
        </is>
      </c>
      <c r="G116" s="63" t="inlineStr">
        <is>
          <t>Open Play</t>
        </is>
      </c>
      <c r="H116" s="63" t="inlineStr">
        <is>
          <t>Ankle</t>
        </is>
      </c>
      <c r="I116" s="63" t="n">
        <v>3</v>
      </c>
      <c r="J116" s="63" t="inlineStr">
        <is>
          <t>NO</t>
        </is>
      </c>
      <c r="K116" s="63">
        <f>TEXT(A116,"MMM-YY")</f>
        <v/>
      </c>
      <c r="L116" s="63">
        <f>HOUR(B116)</f>
        <v/>
      </c>
      <c r="M116" s="63">
        <f>IF(L116&lt;6,"Night",IF(L116&lt;12,"Morning",IF(L116&lt;18,"Afternoon","Evening")))</f>
        <v/>
      </c>
      <c r="N116" s="63">
        <f>TEXT(A116,"DDD")</f>
        <v/>
      </c>
      <c r="O116" s="63">
        <f>WEEKNUM(A116)</f>
        <v/>
      </c>
      <c r="P116" s="63">
        <f>INDEX({"Q1","Q1","Q1","Q2","Q2","Q2","Q3","Q3","Q3","Q4","Q4","Q4"},MONTH(A116))</f>
        <v/>
      </c>
    </row>
    <row r="117">
      <c r="A117" s="199" t="n">
        <v>45870</v>
      </c>
      <c r="B117" s="200" t="n">
        <v>0.6597222222222222</v>
      </c>
      <c r="C117" s="63" t="n">
        <v>25</v>
      </c>
      <c r="D117" s="63" t="inlineStr">
        <is>
          <t>Heat-Related</t>
        </is>
      </c>
      <c r="E117" s="63" t="inlineStr">
        <is>
          <t xml:space="preserve">Activity </t>
        </is>
      </c>
      <c r="F117" s="63" t="inlineStr">
        <is>
          <t xml:space="preserve">JDI Studio </t>
        </is>
      </c>
      <c r="G117" s="63" t="inlineStr">
        <is>
          <t>Kicking Boxing</t>
        </is>
      </c>
      <c r="H117" s="63" t="inlineStr">
        <is>
          <t>Foot</t>
        </is>
      </c>
      <c r="I117" s="63" t="inlineStr">
        <is>
          <t>P3</t>
        </is>
      </c>
      <c r="J117" s="63" t="inlineStr">
        <is>
          <t>NO</t>
        </is>
      </c>
      <c r="K117" s="63">
        <f>TEXT(A117,"MMM-YY")</f>
        <v/>
      </c>
      <c r="L117" s="63">
        <f>HOUR(B117)</f>
        <v/>
      </c>
      <c r="M117" s="63">
        <f>IF(L117&lt;6,"Night",IF(L117&lt;12,"Morning",IF(L117&lt;18,"Afternoon","Evening")))</f>
        <v/>
      </c>
      <c r="N117" s="63">
        <f>TEXT(A117,"DDD")</f>
        <v/>
      </c>
      <c r="O117" s="63">
        <f>WEEKNUM(A117)</f>
        <v/>
      </c>
      <c r="P117" s="63">
        <f>INDEX({"Q1","Q1","Q1","Q2","Q2","Q2","Q3","Q3","Q3","Q4","Q4","Q4"},MONTH(A117))</f>
        <v/>
      </c>
    </row>
    <row r="118">
      <c r="A118" s="199" t="n">
        <v>45870</v>
      </c>
      <c r="B118" s="200" t="n">
        <v>0.6597222222222222</v>
      </c>
      <c r="C118" s="63" t="n">
        <v>25</v>
      </c>
      <c r="D118" s="63" t="inlineStr">
        <is>
          <t>Heat-Related</t>
        </is>
      </c>
      <c r="E118" s="63" t="inlineStr">
        <is>
          <t>Activity</t>
        </is>
      </c>
      <c r="F118" s="63" t="inlineStr">
        <is>
          <t>JDI Studio</t>
        </is>
      </c>
      <c r="G118" s="63" t="inlineStr">
        <is>
          <t>Kicking Boxing</t>
        </is>
      </c>
      <c r="H118" s="63" t="inlineStr">
        <is>
          <t>Foot</t>
        </is>
      </c>
      <c r="I118" s="63" t="n">
        <v>3</v>
      </c>
      <c r="J118" s="63" t="inlineStr">
        <is>
          <t>NO</t>
        </is>
      </c>
      <c r="K118" s="63">
        <f>TEXT(A118,"MMM-YY")</f>
        <v/>
      </c>
      <c r="L118" s="63">
        <f>HOUR(B118)</f>
        <v/>
      </c>
      <c r="M118" s="63">
        <f>IF(L118&lt;6,"Night",IF(L118&lt;12,"Morning",IF(L118&lt;18,"Afternoon","Evening")))</f>
        <v/>
      </c>
      <c r="N118" s="63">
        <f>TEXT(A118,"DDD")</f>
        <v/>
      </c>
      <c r="O118" s="63">
        <f>WEEKNUM(A118)</f>
        <v/>
      </c>
      <c r="P118" s="63">
        <f>INDEX({"Q1","Q1","Q1","Q2","Q2","Q2","Q3","Q3","Q3","Q4","Q4","Q4"},MONTH(A118))</f>
        <v/>
      </c>
    </row>
    <row r="119">
      <c r="A119" s="199" t="n">
        <v>45870</v>
      </c>
      <c r="B119" s="200" t="n">
        <v>0.6847222222222222</v>
      </c>
      <c r="C119" s="63" t="n">
        <v>17</v>
      </c>
      <c r="D119" s="63" t="inlineStr">
        <is>
          <t>Player-to-Player</t>
        </is>
      </c>
      <c r="E119" s="63" t="inlineStr">
        <is>
          <t xml:space="preserve">Activity </t>
        </is>
      </c>
      <c r="F119" s="63" t="inlineStr">
        <is>
          <t xml:space="preserve">5 A side </t>
        </is>
      </c>
      <c r="G119" s="63" t="inlineStr">
        <is>
          <t>Open Play</t>
        </is>
      </c>
      <c r="H119" s="63" t="inlineStr">
        <is>
          <t>Ankle</t>
        </is>
      </c>
      <c r="I119" s="63" t="inlineStr">
        <is>
          <t>P3</t>
        </is>
      </c>
      <c r="J119" s="63" t="inlineStr">
        <is>
          <t>NO</t>
        </is>
      </c>
      <c r="K119" s="63">
        <f>TEXT(A119,"MMM-YY")</f>
        <v/>
      </c>
      <c r="L119" s="63">
        <f>HOUR(B119)</f>
        <v/>
      </c>
      <c r="M119" s="63">
        <f>IF(L119&lt;6,"Night",IF(L119&lt;12,"Morning",IF(L119&lt;18,"Afternoon","Evening")))</f>
        <v/>
      </c>
      <c r="N119" s="63">
        <f>TEXT(A119,"DDD")</f>
        <v/>
      </c>
      <c r="O119" s="63">
        <f>WEEKNUM(A119)</f>
        <v/>
      </c>
      <c r="P119" s="63">
        <f>INDEX({"Q1","Q1","Q1","Q2","Q2","Q2","Q3","Q3","Q3","Q4","Q4","Q4"},MONTH(A119))</f>
        <v/>
      </c>
    </row>
    <row r="120">
      <c r="A120" s="199" t="n">
        <v>45870</v>
      </c>
      <c r="B120" s="200" t="n">
        <v>0.6847222222222222</v>
      </c>
      <c r="C120" s="63" t="n">
        <v>17</v>
      </c>
      <c r="D120" s="63" t="inlineStr">
        <is>
          <t>Player-to-Player</t>
        </is>
      </c>
      <c r="E120" s="63" t="inlineStr">
        <is>
          <t>Activity</t>
        </is>
      </c>
      <c r="F120" s="63" t="inlineStr">
        <is>
          <t>5 A side</t>
        </is>
      </c>
      <c r="G120" s="63" t="inlineStr">
        <is>
          <t>Open Play</t>
        </is>
      </c>
      <c r="H120" s="63" t="inlineStr">
        <is>
          <t>Ankle</t>
        </is>
      </c>
      <c r="I120" s="63" t="n">
        <v>3</v>
      </c>
      <c r="J120" s="63" t="inlineStr">
        <is>
          <t>NO</t>
        </is>
      </c>
      <c r="K120" s="63">
        <f>TEXT(A120,"MMM-YY")</f>
        <v/>
      </c>
      <c r="L120" s="63">
        <f>HOUR(B120)</f>
        <v/>
      </c>
      <c r="M120" s="63">
        <f>IF(L120&lt;6,"Night",IF(L120&lt;12,"Morning",IF(L120&lt;18,"Afternoon","Evening")))</f>
        <v/>
      </c>
      <c r="N120" s="63">
        <f>TEXT(A120,"DDD")</f>
        <v/>
      </c>
      <c r="O120" s="63">
        <f>WEEKNUM(A120)</f>
        <v/>
      </c>
      <c r="P120" s="63">
        <f>INDEX({"Q1","Q1","Q1","Q2","Q2","Q2","Q3","Q3","Q3","Q4","Q4","Q4"},MONTH(A120))</f>
        <v/>
      </c>
    </row>
    <row r="121">
      <c r="A121" s="199" t="n">
        <v>45877</v>
      </c>
      <c r="B121" s="200" t="n">
        <v>0.5673611111111111</v>
      </c>
      <c r="C121" s="63" t="n">
        <v>25</v>
      </c>
      <c r="D121" s="63" t="inlineStr">
        <is>
          <t>Slips, Trips and falls</t>
        </is>
      </c>
      <c r="E121" s="63" t="inlineStr">
        <is>
          <t xml:space="preserve">Activity </t>
        </is>
      </c>
      <c r="F121" s="63" t="inlineStr">
        <is>
          <t>Skate Park</t>
        </is>
      </c>
      <c r="G121" s="63" t="inlineStr">
        <is>
          <t>Open Play</t>
        </is>
      </c>
      <c r="H121" s="63" t="inlineStr">
        <is>
          <t>Foot</t>
        </is>
      </c>
      <c r="I121" s="63" t="inlineStr">
        <is>
          <t>P3</t>
        </is>
      </c>
      <c r="J121" s="63" t="inlineStr">
        <is>
          <t>NO</t>
        </is>
      </c>
      <c r="K121" s="63">
        <f>TEXT(A121,"MMM-YY")</f>
        <v/>
      </c>
      <c r="L121" s="63">
        <f>HOUR(B121)</f>
        <v/>
      </c>
      <c r="M121" s="63">
        <f>IF(L121&lt;6,"Night",IF(L121&lt;12,"Morning",IF(L121&lt;18,"Afternoon","Evening")))</f>
        <v/>
      </c>
      <c r="N121" s="63">
        <f>TEXT(A121,"DDD")</f>
        <v/>
      </c>
      <c r="O121" s="63">
        <f>WEEKNUM(A121)</f>
        <v/>
      </c>
      <c r="P121" s="63">
        <f>INDEX({"Q1","Q1","Q1","Q2","Q2","Q2","Q3","Q3","Q3","Q4","Q4","Q4"},MONTH(A121))</f>
        <v/>
      </c>
    </row>
    <row r="122">
      <c r="A122" s="199" t="n">
        <v>45877</v>
      </c>
      <c r="B122" s="200" t="n">
        <v>0.5673611111111111</v>
      </c>
      <c r="C122" s="63" t="n">
        <v>25</v>
      </c>
      <c r="D122" s="63" t="inlineStr">
        <is>
          <t>Slips, Trips and falls</t>
        </is>
      </c>
      <c r="E122" s="63" t="inlineStr">
        <is>
          <t>Activity</t>
        </is>
      </c>
      <c r="F122" s="63" t="inlineStr">
        <is>
          <t>Skate Park</t>
        </is>
      </c>
      <c r="G122" s="63" t="inlineStr">
        <is>
          <t>Open Play</t>
        </is>
      </c>
      <c r="H122" s="63" t="inlineStr">
        <is>
          <t>Foot</t>
        </is>
      </c>
      <c r="I122" s="63" t="n">
        <v>3</v>
      </c>
      <c r="J122" s="63" t="inlineStr">
        <is>
          <t>NO</t>
        </is>
      </c>
      <c r="K122" s="63">
        <f>TEXT(A122,"MMM-YY")</f>
        <v/>
      </c>
      <c r="L122" s="63">
        <f>HOUR(B122)</f>
        <v/>
      </c>
      <c r="M122" s="63">
        <f>IF(L122&lt;6,"Night",IF(L122&lt;12,"Morning",IF(L122&lt;18,"Afternoon","Evening")))</f>
        <v/>
      </c>
      <c r="N122" s="63">
        <f>TEXT(A122,"DDD")</f>
        <v/>
      </c>
      <c r="O122" s="63">
        <f>WEEKNUM(A122)</f>
        <v/>
      </c>
      <c r="P122" s="63">
        <f>INDEX({"Q1","Q1","Q1","Q2","Q2","Q2","Q3","Q3","Q3","Q4","Q4","Q4"},MONTH(A122))</f>
        <v/>
      </c>
    </row>
    <row r="123">
      <c r="A123" s="199" t="n">
        <v>45880</v>
      </c>
      <c r="B123" s="200" t="n">
        <v>0.6652777777777777</v>
      </c>
      <c r="C123" s="63" t="n">
        <v>14</v>
      </c>
      <c r="D123" s="63" t="inlineStr">
        <is>
          <t>Slips, Trips and falls</t>
        </is>
      </c>
      <c r="E123" s="63" t="inlineStr">
        <is>
          <t xml:space="preserve">Activity </t>
        </is>
      </c>
      <c r="F123" s="63" t="inlineStr">
        <is>
          <t>Skate Park</t>
        </is>
      </c>
      <c r="G123" s="63" t="inlineStr">
        <is>
          <t>Girl Skate</t>
        </is>
      </c>
      <c r="H123" s="63" t="inlineStr">
        <is>
          <t>Hip</t>
        </is>
      </c>
      <c r="I123" s="63" t="inlineStr">
        <is>
          <t>P3</t>
        </is>
      </c>
      <c r="J123" s="63" t="inlineStr">
        <is>
          <t>NO</t>
        </is>
      </c>
      <c r="K123" s="63">
        <f>TEXT(A123,"MMM-YY")</f>
        <v/>
      </c>
      <c r="L123" s="63">
        <f>HOUR(B123)</f>
        <v/>
      </c>
      <c r="M123" s="63">
        <f>IF(L123&lt;6,"Night",IF(L123&lt;12,"Morning",IF(L123&lt;18,"Afternoon","Evening")))</f>
        <v/>
      </c>
      <c r="N123" s="63">
        <f>TEXT(A123,"DDD")</f>
        <v/>
      </c>
      <c r="O123" s="63">
        <f>WEEKNUM(A123)</f>
        <v/>
      </c>
      <c r="P123" s="63">
        <f>INDEX({"Q1","Q1","Q1","Q2","Q2","Q2","Q3","Q3","Q3","Q4","Q4","Q4"},MONTH(A123))</f>
        <v/>
      </c>
    </row>
    <row r="124">
      <c r="A124" s="199" t="n">
        <v>45880</v>
      </c>
      <c r="B124" s="200" t="n">
        <v>0.6652777777777777</v>
      </c>
      <c r="C124" s="63" t="n">
        <v>14</v>
      </c>
      <c r="D124" s="63" t="inlineStr">
        <is>
          <t>Slips, Trips and falls</t>
        </is>
      </c>
      <c r="E124" s="63" t="inlineStr">
        <is>
          <t>Activity</t>
        </is>
      </c>
      <c r="F124" s="63" t="inlineStr">
        <is>
          <t>Skate Park</t>
        </is>
      </c>
      <c r="G124" s="63" t="inlineStr">
        <is>
          <t>Girl Skate</t>
        </is>
      </c>
      <c r="H124" s="63" t="inlineStr">
        <is>
          <t>Hip</t>
        </is>
      </c>
      <c r="I124" s="63" t="n">
        <v>3</v>
      </c>
      <c r="J124" s="63" t="inlineStr">
        <is>
          <t>NO</t>
        </is>
      </c>
      <c r="K124" s="63">
        <f>TEXT(A124,"MMM-YY")</f>
        <v/>
      </c>
      <c r="L124" s="63">
        <f>HOUR(B124)</f>
        <v/>
      </c>
      <c r="M124" s="63">
        <f>IF(L124&lt;6,"Night",IF(L124&lt;12,"Morning",IF(L124&lt;18,"Afternoon","Evening")))</f>
        <v/>
      </c>
      <c r="N124" s="63">
        <f>TEXT(A124,"DDD")</f>
        <v/>
      </c>
      <c r="O124" s="63">
        <f>WEEKNUM(A124)</f>
        <v/>
      </c>
      <c r="P124" s="63">
        <f>INDEX({"Q1","Q1","Q1","Q2","Q2","Q2","Q3","Q3","Q3","Q4","Q4","Q4"},MONTH(A124))</f>
        <v/>
      </c>
    </row>
    <row r="125">
      <c r="A125" s="199" t="n">
        <v>45889</v>
      </c>
      <c r="B125" s="200" t="n">
        <v>0.4916666666666666</v>
      </c>
      <c r="C125" s="63" t="n">
        <v>24</v>
      </c>
      <c r="D125" s="63" t="inlineStr">
        <is>
          <t>Muscle Strains</t>
        </is>
      </c>
      <c r="E125" s="63" t="inlineStr">
        <is>
          <t xml:space="preserve">Activity </t>
        </is>
      </c>
      <c r="F125" s="63" t="inlineStr">
        <is>
          <t xml:space="preserve">JDI Studio </t>
        </is>
      </c>
      <c r="G125" s="63" t="inlineStr">
        <is>
          <t>Training</t>
        </is>
      </c>
      <c r="H125" s="63" t="inlineStr">
        <is>
          <t>Shoulder</t>
        </is>
      </c>
      <c r="I125" s="63" t="inlineStr">
        <is>
          <t>P3</t>
        </is>
      </c>
      <c r="J125" s="63" t="inlineStr">
        <is>
          <t>NO</t>
        </is>
      </c>
      <c r="K125" s="63">
        <f>TEXT(A125,"MMM-YY")</f>
        <v/>
      </c>
      <c r="L125" s="63">
        <f>HOUR(B125)</f>
        <v/>
      </c>
      <c r="M125" s="63">
        <f>IF(L125&lt;6,"Night",IF(L125&lt;12,"Morning",IF(L125&lt;18,"Afternoon","Evening")))</f>
        <v/>
      </c>
      <c r="N125" s="63">
        <f>TEXT(A125,"DDD")</f>
        <v/>
      </c>
      <c r="O125" s="63">
        <f>WEEKNUM(A125)</f>
        <v/>
      </c>
      <c r="P125" s="63">
        <f>INDEX({"Q1","Q1","Q1","Q2","Q2","Q2","Q3","Q3","Q3","Q4","Q4","Q4"},MONTH(A125))</f>
        <v/>
      </c>
    </row>
    <row r="126">
      <c r="A126" s="199" t="n">
        <v>45889</v>
      </c>
      <c r="B126" s="200" t="n">
        <v>0.4916666666666666</v>
      </c>
      <c r="C126" s="63" t="n">
        <v>24</v>
      </c>
      <c r="D126" s="63" t="inlineStr">
        <is>
          <t>Muscle Strains</t>
        </is>
      </c>
      <c r="E126" s="63" t="inlineStr">
        <is>
          <t>Activity</t>
        </is>
      </c>
      <c r="F126" s="63" t="inlineStr">
        <is>
          <t>JDI Studio</t>
        </is>
      </c>
      <c r="G126" s="63" t="inlineStr">
        <is>
          <t>Training</t>
        </is>
      </c>
      <c r="H126" s="63" t="inlineStr">
        <is>
          <t>Shoulder</t>
        </is>
      </c>
      <c r="I126" s="63" t="n">
        <v>3</v>
      </c>
      <c r="J126" s="63" t="inlineStr">
        <is>
          <t>NO</t>
        </is>
      </c>
      <c r="K126" s="63">
        <f>TEXT(A126,"MMM-YY")</f>
        <v/>
      </c>
      <c r="L126" s="63">
        <f>HOUR(B126)</f>
        <v/>
      </c>
      <c r="M126" s="63">
        <f>IF(L126&lt;6,"Night",IF(L126&lt;12,"Morning",IF(L126&lt;18,"Afternoon","Evening")))</f>
        <v/>
      </c>
      <c r="N126" s="63">
        <f>TEXT(A126,"DDD")</f>
        <v/>
      </c>
      <c r="O126" s="63">
        <f>WEEKNUM(A126)</f>
        <v/>
      </c>
      <c r="P126" s="63">
        <f>INDEX({"Q1","Q1","Q1","Q2","Q2","Q2","Q3","Q3","Q3","Q4","Q4","Q4"},MONTH(A126))</f>
        <v/>
      </c>
    </row>
    <row r="127">
      <c r="A127" s="199" t="n">
        <v>45889</v>
      </c>
      <c r="B127" s="200" t="n">
        <v>0.5020833333333333</v>
      </c>
      <c r="C127" s="63" t="n">
        <v>18</v>
      </c>
      <c r="D127" s="63" t="inlineStr">
        <is>
          <t>Incorrect Use</t>
        </is>
      </c>
      <c r="E127" s="63" t="inlineStr">
        <is>
          <t xml:space="preserve">Activity </t>
        </is>
      </c>
      <c r="F127" s="63" t="inlineStr">
        <is>
          <t>Bleachers</t>
        </is>
      </c>
      <c r="G127" s="63" t="inlineStr">
        <is>
          <t>Open Play</t>
        </is>
      </c>
      <c r="H127" s="63" t="inlineStr">
        <is>
          <t>Foot</t>
        </is>
      </c>
      <c r="I127" s="63" t="inlineStr">
        <is>
          <t>P3</t>
        </is>
      </c>
      <c r="J127" s="63" t="inlineStr">
        <is>
          <t>NO</t>
        </is>
      </c>
      <c r="K127" s="63">
        <f>TEXT(A127,"MMM-YY")</f>
        <v/>
      </c>
      <c r="L127" s="63">
        <f>HOUR(B127)</f>
        <v/>
      </c>
      <c r="M127" s="63">
        <f>IF(L127&lt;6,"Night",IF(L127&lt;12,"Morning",IF(L127&lt;18,"Afternoon","Evening")))</f>
        <v/>
      </c>
      <c r="N127" s="63">
        <f>TEXT(A127,"DDD")</f>
        <v/>
      </c>
      <c r="O127" s="63">
        <f>WEEKNUM(A127)</f>
        <v/>
      </c>
      <c r="P127" s="63">
        <f>INDEX({"Q1","Q1","Q1","Q2","Q2","Q2","Q3","Q3","Q3","Q4","Q4","Q4"},MONTH(A127))</f>
        <v/>
      </c>
    </row>
    <row r="128">
      <c r="A128" s="199" t="n">
        <v>45889</v>
      </c>
      <c r="B128" s="200" t="n">
        <v>0.5020833333333333</v>
      </c>
      <c r="C128" s="63" t="n">
        <v>18</v>
      </c>
      <c r="D128" s="63" t="inlineStr">
        <is>
          <t>Incorrect Use</t>
        </is>
      </c>
      <c r="E128" s="63" t="inlineStr">
        <is>
          <t>Activity</t>
        </is>
      </c>
      <c r="F128" s="63" t="inlineStr">
        <is>
          <t>Bleachers</t>
        </is>
      </c>
      <c r="G128" s="63" t="inlineStr">
        <is>
          <t>Open Play</t>
        </is>
      </c>
      <c r="H128" s="63" t="inlineStr">
        <is>
          <t>Foot</t>
        </is>
      </c>
      <c r="I128" s="63" t="n">
        <v>3</v>
      </c>
      <c r="J128" s="63" t="inlineStr">
        <is>
          <t>NO</t>
        </is>
      </c>
      <c r="K128" s="63">
        <f>TEXT(A128,"MMM-YY")</f>
        <v/>
      </c>
      <c r="L128" s="63">
        <f>HOUR(B128)</f>
        <v/>
      </c>
      <c r="M128" s="63">
        <f>IF(L128&lt;6,"Night",IF(L128&lt;12,"Morning",IF(L128&lt;18,"Afternoon","Evening")))</f>
        <v/>
      </c>
      <c r="N128" s="63">
        <f>TEXT(A128,"DDD")</f>
        <v/>
      </c>
      <c r="O128" s="63">
        <f>WEEKNUM(A128)</f>
        <v/>
      </c>
      <c r="P128" s="63">
        <f>INDEX({"Q1","Q1","Q1","Q2","Q2","Q2","Q3","Q3","Q3","Q4","Q4","Q4"},MONTH(A128))</f>
        <v/>
      </c>
    </row>
    <row r="129">
      <c r="A129" s="199" t="n">
        <v>45893</v>
      </c>
      <c r="B129" s="200" t="n">
        <v>0.4375</v>
      </c>
      <c r="C129" s="63" t="n">
        <v>26</v>
      </c>
      <c r="D129" s="63" t="inlineStr">
        <is>
          <t>Medical</t>
        </is>
      </c>
      <c r="E129" s="63" t="inlineStr">
        <is>
          <t xml:space="preserve">Activity </t>
        </is>
      </c>
      <c r="F129" s="63" t="inlineStr">
        <is>
          <t>Bleachers</t>
        </is>
      </c>
      <c r="G129" s="63" t="inlineStr">
        <is>
          <t>Open Play</t>
        </is>
      </c>
      <c r="H129" s="63" t="inlineStr">
        <is>
          <t>Medical</t>
        </is>
      </c>
      <c r="I129" s="63" t="inlineStr">
        <is>
          <t>P3</t>
        </is>
      </c>
      <c r="J129" s="63" t="inlineStr">
        <is>
          <t>NO</t>
        </is>
      </c>
      <c r="K129" s="63">
        <f>TEXT(A129,"MMM-YY")</f>
        <v/>
      </c>
      <c r="L129" s="63">
        <f>HOUR(B129)</f>
        <v/>
      </c>
      <c r="M129" s="63">
        <f>IF(L129&lt;6,"Night",IF(L129&lt;12,"Morning",IF(L129&lt;18,"Afternoon","Evening")))</f>
        <v/>
      </c>
      <c r="N129" s="63">
        <f>TEXT(A129,"DDD")</f>
        <v/>
      </c>
      <c r="O129" s="63">
        <f>WEEKNUM(A129)</f>
        <v/>
      </c>
      <c r="P129" s="63">
        <f>INDEX({"Q1","Q1","Q1","Q2","Q2","Q2","Q3","Q3","Q3","Q4","Q4","Q4"},MONTH(A129))</f>
        <v/>
      </c>
    </row>
    <row r="130">
      <c r="A130" s="199" t="n">
        <v>45893</v>
      </c>
      <c r="B130" s="200" t="n">
        <v>0.4375</v>
      </c>
      <c r="C130" s="63" t="n">
        <v>26</v>
      </c>
      <c r="D130" s="63" t="inlineStr">
        <is>
          <t>Medical</t>
        </is>
      </c>
      <c r="E130" s="63" t="inlineStr">
        <is>
          <t>Activity</t>
        </is>
      </c>
      <c r="F130" s="63" t="inlineStr">
        <is>
          <t>Bleachers</t>
        </is>
      </c>
      <c r="G130" s="63" t="inlineStr">
        <is>
          <t>Open Play</t>
        </is>
      </c>
      <c r="H130" s="63" t="inlineStr">
        <is>
          <t>Medical</t>
        </is>
      </c>
      <c r="I130" s="63" t="n">
        <v>3</v>
      </c>
      <c r="J130" s="63" t="inlineStr">
        <is>
          <t>NO</t>
        </is>
      </c>
      <c r="K130" s="63">
        <f>TEXT(A130,"MMM-YY")</f>
        <v/>
      </c>
      <c r="L130" s="63">
        <f>HOUR(B130)</f>
        <v/>
      </c>
      <c r="M130" s="63">
        <f>IF(L130&lt;6,"Night",IF(L130&lt;12,"Morning",IF(L130&lt;18,"Afternoon","Evening")))</f>
        <v/>
      </c>
      <c r="N130" s="63">
        <f>TEXT(A130,"DDD")</f>
        <v/>
      </c>
      <c r="O130" s="63">
        <f>WEEKNUM(A130)</f>
        <v/>
      </c>
      <c r="P130" s="63">
        <f>INDEX({"Q1","Q1","Q1","Q2","Q2","Q2","Q3","Q3","Q3","Q4","Q4","Q4"},MONTH(A130))</f>
        <v/>
      </c>
    </row>
    <row r="131">
      <c r="A131" s="199" t="n">
        <v>45896</v>
      </c>
      <c r="B131" s="200" t="n">
        <v>0.5159722222222223</v>
      </c>
      <c r="C131" s="63" t="n">
        <v>24</v>
      </c>
      <c r="D131" s="63" t="inlineStr">
        <is>
          <t>Player-to-Player</t>
        </is>
      </c>
      <c r="E131" s="63" t="inlineStr">
        <is>
          <t xml:space="preserve">Activity </t>
        </is>
      </c>
      <c r="F131" s="63" t="inlineStr">
        <is>
          <t>Skate Park</t>
        </is>
      </c>
      <c r="G131" s="63" t="inlineStr">
        <is>
          <t>Open Play</t>
        </is>
      </c>
      <c r="H131" s="63" t="inlineStr">
        <is>
          <t>Hip</t>
        </is>
      </c>
      <c r="I131" s="63" t="inlineStr">
        <is>
          <t>P3</t>
        </is>
      </c>
      <c r="J131" s="63" t="inlineStr">
        <is>
          <t>NO</t>
        </is>
      </c>
      <c r="K131" s="63">
        <f>TEXT(A131,"MMM-YY")</f>
        <v/>
      </c>
      <c r="L131" s="63">
        <f>HOUR(B131)</f>
        <v/>
      </c>
      <c r="M131" s="63">
        <f>IF(L131&lt;6,"Night",IF(L131&lt;12,"Morning",IF(L131&lt;18,"Afternoon","Evening")))</f>
        <v/>
      </c>
      <c r="N131" s="63">
        <f>TEXT(A131,"DDD")</f>
        <v/>
      </c>
      <c r="O131" s="63">
        <f>WEEKNUM(A131)</f>
        <v/>
      </c>
      <c r="P131" s="63">
        <f>INDEX({"Q1","Q1","Q1","Q2","Q2","Q2","Q3","Q3","Q3","Q4","Q4","Q4"},MONTH(A131))</f>
        <v/>
      </c>
    </row>
    <row r="132">
      <c r="A132" s="199" t="n">
        <v>45896</v>
      </c>
      <c r="B132" s="200" t="n">
        <v>0.5159722222222223</v>
      </c>
      <c r="C132" s="63" t="n">
        <v>24</v>
      </c>
      <c r="D132" s="63" t="inlineStr">
        <is>
          <t>Player-to-Player</t>
        </is>
      </c>
      <c r="E132" s="63" t="inlineStr">
        <is>
          <t>Activity</t>
        </is>
      </c>
      <c r="F132" s="63" t="inlineStr">
        <is>
          <t>Skate Park</t>
        </is>
      </c>
      <c r="G132" s="63" t="inlineStr">
        <is>
          <t>Open Play</t>
        </is>
      </c>
      <c r="H132" s="63" t="inlineStr">
        <is>
          <t>Hip</t>
        </is>
      </c>
      <c r="I132" s="63" t="n">
        <v>3</v>
      </c>
      <c r="J132" s="63" t="inlineStr">
        <is>
          <t>NO</t>
        </is>
      </c>
      <c r="K132" s="63">
        <f>TEXT(A132,"MMM-YY")</f>
        <v/>
      </c>
      <c r="L132" s="63">
        <f>HOUR(B132)</f>
        <v/>
      </c>
      <c r="M132" s="63">
        <f>IF(L132&lt;6,"Night",IF(L132&lt;12,"Morning",IF(L132&lt;18,"Afternoon","Evening")))</f>
        <v/>
      </c>
      <c r="N132" s="63">
        <f>TEXT(A132,"DDD")</f>
        <v/>
      </c>
      <c r="O132" s="63">
        <f>WEEKNUM(A132)</f>
        <v/>
      </c>
      <c r="P132" s="63">
        <f>INDEX({"Q1","Q1","Q1","Q2","Q2","Q2","Q3","Q3","Q3","Q4","Q4","Q4"},MONTH(A132))</f>
        <v/>
      </c>
    </row>
    <row r="133">
      <c r="A133" s="199" t="n">
        <v>45897</v>
      </c>
      <c r="B133" s="200" t="n">
        <v>0.4569444444444444</v>
      </c>
      <c r="C133" s="63" t="n">
        <v>27</v>
      </c>
      <c r="D133" s="63" t="inlineStr">
        <is>
          <t>Slips, Trips and falls</t>
        </is>
      </c>
      <c r="E133" s="63" t="inlineStr">
        <is>
          <t xml:space="preserve">Activity </t>
        </is>
      </c>
      <c r="F133" s="63" t="inlineStr">
        <is>
          <t xml:space="preserve">11- A side </t>
        </is>
      </c>
      <c r="G133" s="63" t="inlineStr">
        <is>
          <t>Morning Show</t>
        </is>
      </c>
      <c r="H133" s="63" t="inlineStr">
        <is>
          <t>Foot</t>
        </is>
      </c>
      <c r="I133" s="63" t="inlineStr">
        <is>
          <t>P3</t>
        </is>
      </c>
      <c r="J133" s="63" t="inlineStr">
        <is>
          <t>NO</t>
        </is>
      </c>
      <c r="K133" s="63">
        <f>TEXT(A133,"MMM-YY")</f>
        <v/>
      </c>
      <c r="L133" s="63">
        <f>HOUR(B133)</f>
        <v/>
      </c>
      <c r="M133" s="63">
        <f>IF(L133&lt;6,"Night",IF(L133&lt;12,"Morning",IF(L133&lt;18,"Afternoon","Evening")))</f>
        <v/>
      </c>
      <c r="N133" s="63">
        <f>TEXT(A133,"DDD")</f>
        <v/>
      </c>
      <c r="O133" s="63">
        <f>WEEKNUM(A133)</f>
        <v/>
      </c>
      <c r="P133" s="63">
        <f>INDEX({"Q1","Q1","Q1","Q2","Q2","Q2","Q3","Q3","Q3","Q4","Q4","Q4"},MONTH(A133))</f>
        <v/>
      </c>
    </row>
    <row r="134">
      <c r="A134" s="199" t="n">
        <v>45897</v>
      </c>
      <c r="B134" s="200" t="n">
        <v>0.4569444444444444</v>
      </c>
      <c r="C134" s="63" t="n">
        <v>27</v>
      </c>
      <c r="D134" s="63" t="inlineStr">
        <is>
          <t>Slips, Trips and falls</t>
        </is>
      </c>
      <c r="E134" s="63" t="inlineStr">
        <is>
          <t>Activity</t>
        </is>
      </c>
      <c r="F134" s="63" t="inlineStr">
        <is>
          <t>11- A side</t>
        </is>
      </c>
      <c r="G134" s="63" t="inlineStr">
        <is>
          <t>Morning Show</t>
        </is>
      </c>
      <c r="H134" s="63" t="inlineStr">
        <is>
          <t>Foot</t>
        </is>
      </c>
      <c r="I134" s="63" t="n">
        <v>3</v>
      </c>
      <c r="J134" s="63" t="inlineStr">
        <is>
          <t>NO</t>
        </is>
      </c>
      <c r="K134" s="63">
        <f>TEXT(A134,"MMM-YY")</f>
        <v/>
      </c>
      <c r="L134" s="63">
        <f>HOUR(B134)</f>
        <v/>
      </c>
      <c r="M134" s="63">
        <f>IF(L134&lt;6,"Night",IF(L134&lt;12,"Morning",IF(L134&lt;18,"Afternoon","Evening")))</f>
        <v/>
      </c>
      <c r="N134" s="63">
        <f>TEXT(A134,"DDD")</f>
        <v/>
      </c>
      <c r="O134" s="63">
        <f>WEEKNUM(A134)</f>
        <v/>
      </c>
      <c r="P134" s="63">
        <f>INDEX({"Q1","Q1","Q1","Q2","Q2","Q2","Q3","Q3","Q3","Q4","Q4","Q4"},MONTH(A134))</f>
        <v/>
      </c>
    </row>
    <row r="135">
      <c r="A135" s="199" t="n">
        <v>45902</v>
      </c>
      <c r="B135" s="200" t="n">
        <v>0.6944444444444444</v>
      </c>
      <c r="C135" s="63" t="n">
        <v>22</v>
      </c>
      <c r="D135" s="63" t="inlineStr">
        <is>
          <t>Player-to-Player</t>
        </is>
      </c>
      <c r="E135" s="63" t="inlineStr">
        <is>
          <t xml:space="preserve">Activity </t>
        </is>
      </c>
      <c r="F135" s="63" t="inlineStr">
        <is>
          <t xml:space="preserve">5 A side </t>
        </is>
      </c>
      <c r="G135" s="63" t="inlineStr">
        <is>
          <t xml:space="preserve">Afternoon Program </t>
        </is>
      </c>
      <c r="H135" s="63" t="inlineStr">
        <is>
          <t xml:space="preserve">Arm </t>
        </is>
      </c>
      <c r="I135" s="63" t="inlineStr">
        <is>
          <t>P3</t>
        </is>
      </c>
      <c r="J135" s="63" t="inlineStr">
        <is>
          <t>NO</t>
        </is>
      </c>
      <c r="K135" s="63">
        <f>TEXT(A135,"MMM-YY")</f>
        <v/>
      </c>
      <c r="L135" s="63">
        <f>HOUR(B135)</f>
        <v/>
      </c>
      <c r="M135" s="63">
        <f>IF(L135&lt;6,"Night",IF(L135&lt;12,"Morning",IF(L135&lt;18,"Afternoon","Evening")))</f>
        <v/>
      </c>
      <c r="N135" s="63">
        <f>TEXT(A135,"DDD")</f>
        <v/>
      </c>
      <c r="O135" s="63">
        <f>WEEKNUM(A135)</f>
        <v/>
      </c>
      <c r="P135" s="63">
        <f>INDEX({"Q1","Q1","Q1","Q2","Q2","Q2","Q3","Q3","Q3","Q4","Q4","Q4"},MONTH(A135))</f>
        <v/>
      </c>
    </row>
    <row r="136">
      <c r="A136" s="199" t="n">
        <v>45906</v>
      </c>
      <c r="B136" s="200" t="n">
        <v>0.5590277777777778</v>
      </c>
      <c r="C136" s="63" t="n">
        <v>10</v>
      </c>
      <c r="D136" s="63" t="inlineStr">
        <is>
          <t>Player-to-Player</t>
        </is>
      </c>
      <c r="E136" s="63" t="inlineStr">
        <is>
          <t xml:space="preserve">Activity </t>
        </is>
      </c>
      <c r="F136" s="63" t="inlineStr">
        <is>
          <t xml:space="preserve">5 A side </t>
        </is>
      </c>
      <c r="G136" s="63" t="inlineStr">
        <is>
          <t>Open Play</t>
        </is>
      </c>
      <c r="H136" s="63" t="inlineStr">
        <is>
          <t xml:space="preserve">Knee </t>
        </is>
      </c>
      <c r="I136" s="63" t="inlineStr">
        <is>
          <t>P3</t>
        </is>
      </c>
      <c r="J136" s="63" t="inlineStr">
        <is>
          <t>NO</t>
        </is>
      </c>
      <c r="K136" s="63">
        <f>TEXT(A136,"MMM-YY")</f>
        <v/>
      </c>
      <c r="L136" s="63">
        <f>HOUR(B136)</f>
        <v/>
      </c>
      <c r="M136" s="63">
        <f>IF(L136&lt;6,"Night",IF(L136&lt;12,"Morning",IF(L136&lt;18,"Afternoon","Evening")))</f>
        <v/>
      </c>
      <c r="N136" s="63">
        <f>TEXT(A136,"DDD")</f>
        <v/>
      </c>
      <c r="O136" s="63">
        <f>WEEKNUM(A136)</f>
        <v/>
      </c>
      <c r="P136" s="63">
        <f>INDEX({"Q1","Q1","Q1","Q2","Q2","Q2","Q3","Q3","Q3","Q4","Q4","Q4"},MONTH(A136))</f>
        <v/>
      </c>
    </row>
    <row r="137">
      <c r="A137" s="199" t="n">
        <v>45907</v>
      </c>
      <c r="B137" s="200" t="n">
        <v>0.5277777777777778</v>
      </c>
      <c r="C137" s="63" t="n">
        <v>15</v>
      </c>
      <c r="D137" s="63" t="inlineStr">
        <is>
          <t>Slips, Trips and falls</t>
        </is>
      </c>
      <c r="E137" s="63" t="inlineStr">
        <is>
          <t xml:space="preserve">Activity </t>
        </is>
      </c>
      <c r="F137" s="63" t="inlineStr">
        <is>
          <t xml:space="preserve">11- A side </t>
        </is>
      </c>
      <c r="G137" s="63" t="inlineStr">
        <is>
          <t>Open Play</t>
        </is>
      </c>
      <c r="H137" s="63" t="inlineStr">
        <is>
          <t xml:space="preserve">Elbow </t>
        </is>
      </c>
      <c r="I137" s="63" t="inlineStr">
        <is>
          <t>P3</t>
        </is>
      </c>
      <c r="J137" s="63" t="inlineStr">
        <is>
          <t>NO</t>
        </is>
      </c>
      <c r="K137" s="63">
        <f>TEXT(A137,"MMM-YY")</f>
        <v/>
      </c>
      <c r="L137" s="63">
        <f>HOUR(B137)</f>
        <v/>
      </c>
      <c r="M137" s="63">
        <f>IF(L137&lt;6,"Night",IF(L137&lt;12,"Morning",IF(L137&lt;18,"Afternoon","Evening")))</f>
        <v/>
      </c>
      <c r="N137" s="63">
        <f>TEXT(A137,"DDD")</f>
        <v/>
      </c>
      <c r="O137" s="63">
        <f>WEEKNUM(A137)</f>
        <v/>
      </c>
      <c r="P137" s="63">
        <f>INDEX({"Q1","Q1","Q1","Q2","Q2","Q2","Q3","Q3","Q3","Q4","Q4","Q4"},MONTH(A137))</f>
        <v/>
      </c>
    </row>
    <row r="138">
      <c r="A138" s="199" t="n">
        <v>45907</v>
      </c>
      <c r="B138" s="200" t="n">
        <v>0.5763888888888888</v>
      </c>
      <c r="C138" s="63" t="n">
        <v>15</v>
      </c>
      <c r="D138" s="63" t="inlineStr">
        <is>
          <t>Player-to-Player</t>
        </is>
      </c>
      <c r="E138" s="63" t="inlineStr">
        <is>
          <t xml:space="preserve">Activity </t>
        </is>
      </c>
      <c r="F138" s="63" t="inlineStr">
        <is>
          <t xml:space="preserve">11- A side </t>
        </is>
      </c>
      <c r="G138" s="63" t="inlineStr">
        <is>
          <t>Open Play</t>
        </is>
      </c>
      <c r="H138" s="63" t="inlineStr">
        <is>
          <t xml:space="preserve">Knee </t>
        </is>
      </c>
      <c r="I138" s="63" t="inlineStr">
        <is>
          <t>P3</t>
        </is>
      </c>
      <c r="J138" s="63" t="inlineStr">
        <is>
          <t>NO</t>
        </is>
      </c>
      <c r="K138" s="63">
        <f>TEXT(A138,"MMM-YY")</f>
        <v/>
      </c>
      <c r="L138" s="63">
        <f>HOUR(B138)</f>
        <v/>
      </c>
      <c r="M138" s="63">
        <f>IF(L138&lt;6,"Night",IF(L138&lt;12,"Morning",IF(L138&lt;18,"Afternoon","Evening")))</f>
        <v/>
      </c>
      <c r="N138" s="63">
        <f>TEXT(A138,"DDD")</f>
        <v/>
      </c>
      <c r="O138" s="63">
        <f>WEEKNUM(A138)</f>
        <v/>
      </c>
      <c r="P138" s="63">
        <f>INDEX({"Q1","Q1","Q1","Q2","Q2","Q2","Q3","Q3","Q3","Q4","Q4","Q4"},MONTH(A138))</f>
        <v/>
      </c>
    </row>
    <row r="139">
      <c r="A139" s="199" t="n">
        <v>45907</v>
      </c>
      <c r="B139" s="200" t="n">
        <v>0.65</v>
      </c>
      <c r="C139" s="63" t="n">
        <v>14</v>
      </c>
      <c r="D139" s="63" t="inlineStr">
        <is>
          <t>Slips, Trips and falls</t>
        </is>
      </c>
      <c r="E139" s="63" t="inlineStr">
        <is>
          <t>NONE SPORTS CENTER</t>
        </is>
      </c>
      <c r="F139" s="63" t="inlineStr">
        <is>
          <t xml:space="preserve">11- A side </t>
        </is>
      </c>
      <c r="G139" s="63" t="inlineStr">
        <is>
          <t>NONE SPORTS CENTER</t>
        </is>
      </c>
      <c r="H139" s="63" t="inlineStr">
        <is>
          <t xml:space="preserve">Knee </t>
        </is>
      </c>
      <c r="I139" s="63" t="inlineStr">
        <is>
          <t>P3</t>
        </is>
      </c>
      <c r="J139" s="63" t="inlineStr">
        <is>
          <t>NO</t>
        </is>
      </c>
      <c r="K139" s="63">
        <f>TEXT(A139,"MMM-YY")</f>
        <v/>
      </c>
      <c r="L139" s="63">
        <f>HOUR(B139)</f>
        <v/>
      </c>
      <c r="M139" s="63">
        <f>IF(L139&lt;6,"Night",IF(L139&lt;12,"Morning",IF(L139&lt;18,"Afternoon","Evening")))</f>
        <v/>
      </c>
      <c r="N139" s="63">
        <f>TEXT(A139,"DDD")</f>
        <v/>
      </c>
      <c r="O139" s="63">
        <f>WEEKNUM(A139)</f>
        <v/>
      </c>
      <c r="P139" s="63">
        <f>INDEX({"Q1","Q1","Q1","Q2","Q2","Q2","Q3","Q3","Q3","Q4","Q4","Q4"},MONTH(A139))</f>
        <v/>
      </c>
    </row>
    <row r="140">
      <c r="A140" s="199" t="n">
        <v>45908</v>
      </c>
      <c r="B140" s="200" t="n">
        <v>0.6041666666666666</v>
      </c>
      <c r="C140" s="63" t="n">
        <v>19</v>
      </c>
      <c r="D140" s="63" t="inlineStr">
        <is>
          <t>Player-to-Player</t>
        </is>
      </c>
      <c r="E140" s="63" t="inlineStr">
        <is>
          <t xml:space="preserve">Activity </t>
        </is>
      </c>
      <c r="F140" s="63" t="inlineStr">
        <is>
          <t xml:space="preserve">11- A side </t>
        </is>
      </c>
      <c r="G140" s="63" t="inlineStr">
        <is>
          <t>Open Play</t>
        </is>
      </c>
      <c r="H140" s="63" t="inlineStr">
        <is>
          <t xml:space="preserve">Ankle </t>
        </is>
      </c>
      <c r="I140" s="63" t="inlineStr">
        <is>
          <t>P3</t>
        </is>
      </c>
      <c r="J140" s="63" t="inlineStr">
        <is>
          <t>NO</t>
        </is>
      </c>
      <c r="K140" s="63">
        <f>TEXT(A140,"MMM-YY")</f>
        <v/>
      </c>
      <c r="L140" s="63">
        <f>HOUR(B140)</f>
        <v/>
      </c>
      <c r="M140" s="63">
        <f>IF(L140&lt;6,"Night",IF(L140&lt;12,"Morning",IF(L140&lt;18,"Afternoon","Evening")))</f>
        <v/>
      </c>
      <c r="N140" s="63">
        <f>TEXT(A140,"DDD")</f>
        <v/>
      </c>
      <c r="O140" s="63">
        <f>WEEKNUM(A140)</f>
        <v/>
      </c>
      <c r="P140" s="63">
        <f>INDEX({"Q1","Q1","Q1","Q2","Q2","Q2","Q3","Q3","Q3","Q4","Q4","Q4"},MONTH(A140))</f>
        <v/>
      </c>
    </row>
    <row r="141">
      <c r="A141" s="199" t="n">
        <v>45908</v>
      </c>
      <c r="B141" s="200" t="n">
        <v>0.6666666666666666</v>
      </c>
      <c r="C141" s="63" t="n">
        <v>10</v>
      </c>
      <c r="D141" s="63" t="inlineStr">
        <is>
          <t>Slips, Trips and falls</t>
        </is>
      </c>
      <c r="E141" s="63" t="inlineStr">
        <is>
          <t xml:space="preserve">Activity </t>
        </is>
      </c>
      <c r="F141" s="63" t="inlineStr">
        <is>
          <t>Skate Park</t>
        </is>
      </c>
      <c r="G141" s="63" t="inlineStr">
        <is>
          <t>Girl Skate</t>
        </is>
      </c>
      <c r="H141" s="63" t="inlineStr">
        <is>
          <t xml:space="preserve">Shoulder </t>
        </is>
      </c>
      <c r="I141" s="63" t="inlineStr">
        <is>
          <t>P3</t>
        </is>
      </c>
      <c r="J141" s="63" t="inlineStr">
        <is>
          <t>NO</t>
        </is>
      </c>
      <c r="K141" s="63">
        <f>TEXT(A141,"MMM-YY")</f>
        <v/>
      </c>
      <c r="L141" s="63">
        <f>HOUR(B141)</f>
        <v/>
      </c>
      <c r="M141" s="63">
        <f>IF(L141&lt;6,"Night",IF(L141&lt;12,"Morning",IF(L141&lt;18,"Afternoon","Evening")))</f>
        <v/>
      </c>
      <c r="N141" s="63">
        <f>TEXT(A141,"DDD")</f>
        <v/>
      </c>
      <c r="O141" s="63">
        <f>WEEKNUM(A141)</f>
        <v/>
      </c>
      <c r="P141" s="63">
        <f>INDEX({"Q1","Q1","Q1","Q2","Q2","Q2","Q3","Q3","Q3","Q4","Q4","Q4"},MONTH(A141))</f>
        <v/>
      </c>
    </row>
    <row r="142">
      <c r="A142" s="199" t="n">
        <v>45914</v>
      </c>
      <c r="B142" s="200" t="n">
        <v>0.5416666666666666</v>
      </c>
      <c r="C142" s="63" t="n">
        <v>13</v>
      </c>
      <c r="D142" s="63" t="inlineStr">
        <is>
          <t>Medical</t>
        </is>
      </c>
      <c r="E142" s="63" t="inlineStr">
        <is>
          <t xml:space="preserve">Activity </t>
        </is>
      </c>
      <c r="F142" s="63" t="inlineStr">
        <is>
          <t xml:space="preserve">11- A side </t>
        </is>
      </c>
      <c r="G142" s="63" t="inlineStr">
        <is>
          <t>Open Play</t>
        </is>
      </c>
      <c r="H142" s="63" t="inlineStr">
        <is>
          <t xml:space="preserve">Medical </t>
        </is>
      </c>
      <c r="I142" s="63" t="inlineStr">
        <is>
          <t>P3</t>
        </is>
      </c>
      <c r="J142" s="63" t="inlineStr">
        <is>
          <t>NO</t>
        </is>
      </c>
      <c r="K142" s="63">
        <f>TEXT(A142,"MMM-YY")</f>
        <v/>
      </c>
      <c r="L142" s="63">
        <f>HOUR(B142)</f>
        <v/>
      </c>
      <c r="M142" s="63">
        <f>IF(L142&lt;6,"Night",IF(L142&lt;12,"Morning",IF(L142&lt;18,"Afternoon","Evening")))</f>
        <v/>
      </c>
      <c r="N142" s="63">
        <f>TEXT(A142,"DDD")</f>
        <v/>
      </c>
      <c r="O142" s="63">
        <f>WEEKNUM(A142)</f>
        <v/>
      </c>
      <c r="P142" s="63">
        <f>INDEX({"Q1","Q1","Q1","Q2","Q2","Q2","Q3","Q3","Q3","Q4","Q4","Q4"},MONTH(A142))</f>
        <v/>
      </c>
    </row>
    <row r="143">
      <c r="A143" s="199" t="n">
        <v>45915</v>
      </c>
      <c r="B143" s="200" t="n">
        <v>0.5625</v>
      </c>
      <c r="C143" s="63" t="n">
        <v>19</v>
      </c>
      <c r="D143" s="63" t="inlineStr">
        <is>
          <t>Player-to-Player</t>
        </is>
      </c>
      <c r="E143" s="63" t="inlineStr">
        <is>
          <t xml:space="preserve">Activity </t>
        </is>
      </c>
      <c r="F143" s="63" t="inlineStr">
        <is>
          <t xml:space="preserve">5 A side </t>
        </is>
      </c>
      <c r="G143" s="63" t="inlineStr">
        <is>
          <t>Open Play</t>
        </is>
      </c>
      <c r="H143" s="63" t="inlineStr">
        <is>
          <t xml:space="preserve">Foot </t>
        </is>
      </c>
      <c r="I143" s="63" t="inlineStr">
        <is>
          <t>P3</t>
        </is>
      </c>
      <c r="J143" s="63" t="inlineStr">
        <is>
          <t>NO</t>
        </is>
      </c>
      <c r="K143" s="63">
        <f>TEXT(A143,"MMM-YY")</f>
        <v/>
      </c>
      <c r="L143" s="63">
        <f>HOUR(B143)</f>
        <v/>
      </c>
      <c r="M143" s="63">
        <f>IF(L143&lt;6,"Night",IF(L143&lt;12,"Morning",IF(L143&lt;18,"Afternoon","Evening")))</f>
        <v/>
      </c>
      <c r="N143" s="63">
        <f>TEXT(A143,"DDD")</f>
        <v/>
      </c>
      <c r="O143" s="63">
        <f>WEEKNUM(A143)</f>
        <v/>
      </c>
      <c r="P143" s="63">
        <f>INDEX({"Q1","Q1","Q1","Q2","Q2","Q2","Q3","Q3","Q3","Q4","Q4","Q4"},MONTH(A143))</f>
        <v/>
      </c>
    </row>
    <row r="144">
      <c r="A144" s="199" t="n">
        <v>45919</v>
      </c>
      <c r="B144" s="200" t="n">
        <v>0.7006944444444444</v>
      </c>
      <c r="C144" s="63" t="n">
        <v>14</v>
      </c>
      <c r="D144" s="63" t="inlineStr">
        <is>
          <t>Struck by Equipment</t>
        </is>
      </c>
      <c r="E144" s="63" t="inlineStr">
        <is>
          <t xml:space="preserve">Activity </t>
        </is>
      </c>
      <c r="F144" s="63" t="inlineStr">
        <is>
          <t xml:space="preserve">11- A side </t>
        </is>
      </c>
      <c r="G144" s="63" t="inlineStr">
        <is>
          <t>Open Play</t>
        </is>
      </c>
      <c r="H144" s="63" t="inlineStr">
        <is>
          <t xml:space="preserve">Facial Injury </t>
        </is>
      </c>
      <c r="I144" s="63" t="inlineStr">
        <is>
          <t>P3</t>
        </is>
      </c>
      <c r="J144" s="63" t="inlineStr">
        <is>
          <t>NO</t>
        </is>
      </c>
      <c r="K144" s="63">
        <f>TEXT(A144,"MMM-YY")</f>
        <v/>
      </c>
      <c r="L144" s="63">
        <f>HOUR(B144)</f>
        <v/>
      </c>
      <c r="M144" s="63">
        <f>IF(L144&lt;6,"Night",IF(L144&lt;12,"Morning",IF(L144&lt;18,"Afternoon","Evening")))</f>
        <v/>
      </c>
      <c r="N144" s="63">
        <f>TEXT(A144,"DDD")</f>
        <v/>
      </c>
      <c r="O144" s="63">
        <f>WEEKNUM(A144)</f>
        <v/>
      </c>
      <c r="P144" s="63">
        <f>INDEX({"Q1","Q1","Q1","Q2","Q2","Q2","Q3","Q3","Q3","Q4","Q4","Q4"},MONTH(A144))</f>
        <v/>
      </c>
    </row>
    <row r="145">
      <c r="A145" s="199" t="n">
        <v>45921</v>
      </c>
      <c r="B145" s="200" t="n">
        <v>0.4375</v>
      </c>
      <c r="C145" s="63" t="n">
        <v>24</v>
      </c>
      <c r="D145" s="63" t="inlineStr">
        <is>
          <t>Muscle Strains</t>
        </is>
      </c>
      <c r="E145" s="63" t="inlineStr">
        <is>
          <t xml:space="preserve">Activity </t>
        </is>
      </c>
      <c r="F145" s="63" t="inlineStr">
        <is>
          <t xml:space="preserve">11- A side </t>
        </is>
      </c>
      <c r="G145" s="63" t="inlineStr">
        <is>
          <t>Open Play</t>
        </is>
      </c>
      <c r="H145" s="63" t="inlineStr">
        <is>
          <t xml:space="preserve">Lower limb </t>
        </is>
      </c>
      <c r="I145" s="63" t="inlineStr">
        <is>
          <t>P3</t>
        </is>
      </c>
      <c r="J145" s="63" t="inlineStr">
        <is>
          <t>NO</t>
        </is>
      </c>
      <c r="K145" s="63">
        <f>TEXT(A145,"MMM-YY")</f>
        <v/>
      </c>
      <c r="L145" s="63">
        <f>HOUR(B145)</f>
        <v/>
      </c>
      <c r="M145" s="63">
        <f>IF(L145&lt;6,"Night",IF(L145&lt;12,"Morning",IF(L145&lt;18,"Afternoon","Evening")))</f>
        <v/>
      </c>
      <c r="N145" s="63">
        <f>TEXT(A145,"DDD")</f>
        <v/>
      </c>
      <c r="O145" s="63">
        <f>WEEKNUM(A145)</f>
        <v/>
      </c>
      <c r="P145" s="63">
        <f>INDEX({"Q1","Q1","Q1","Q2","Q2","Q2","Q3","Q3","Q3","Q4","Q4","Q4"},MONTH(A145))</f>
        <v/>
      </c>
    </row>
    <row r="146">
      <c r="A146" s="199" t="n">
        <v>45921</v>
      </c>
      <c r="B146" s="200" t="n">
        <v>0.45</v>
      </c>
      <c r="C146" s="63" t="n">
        <v>14</v>
      </c>
      <c r="D146" s="63" t="inlineStr">
        <is>
          <t>Player-to-Player</t>
        </is>
      </c>
      <c r="E146" s="63" t="inlineStr">
        <is>
          <t xml:space="preserve">Activity </t>
        </is>
      </c>
      <c r="F146" s="63" t="inlineStr">
        <is>
          <t xml:space="preserve">11- A side </t>
        </is>
      </c>
      <c r="G146" s="63" t="inlineStr">
        <is>
          <t>Training</t>
        </is>
      </c>
      <c r="H146" s="63" t="inlineStr">
        <is>
          <t xml:space="preserve">Foot </t>
        </is>
      </c>
      <c r="I146" s="63" t="inlineStr">
        <is>
          <t>P3</t>
        </is>
      </c>
      <c r="J146" s="63" t="inlineStr">
        <is>
          <t>NO</t>
        </is>
      </c>
      <c r="K146" s="63">
        <f>TEXT(A146,"MMM-YY")</f>
        <v/>
      </c>
      <c r="L146" s="63">
        <f>HOUR(B146)</f>
        <v/>
      </c>
      <c r="M146" s="63">
        <f>IF(L146&lt;6,"Night",IF(L146&lt;12,"Morning",IF(L146&lt;18,"Afternoon","Evening")))</f>
        <v/>
      </c>
      <c r="N146" s="63">
        <f>TEXT(A146,"DDD")</f>
        <v/>
      </c>
      <c r="O146" s="63">
        <f>WEEKNUM(A146)</f>
        <v/>
      </c>
      <c r="P146" s="63">
        <f>INDEX({"Q1","Q1","Q1","Q2","Q2","Q2","Q3","Q3","Q3","Q4","Q4","Q4"},MONTH(A146))</f>
        <v/>
      </c>
    </row>
    <row r="147">
      <c r="A147" s="199" t="n">
        <v>45921</v>
      </c>
      <c r="B147" s="200" t="n">
        <v>0.45</v>
      </c>
      <c r="C147" s="63" t="n">
        <v>16</v>
      </c>
      <c r="D147" s="63" t="inlineStr">
        <is>
          <t>Player-to-Player</t>
        </is>
      </c>
      <c r="E147" s="63" t="inlineStr">
        <is>
          <t xml:space="preserve">Activity </t>
        </is>
      </c>
      <c r="F147" s="63" t="inlineStr">
        <is>
          <t xml:space="preserve">11- A side </t>
        </is>
      </c>
      <c r="G147" s="63" t="inlineStr">
        <is>
          <t>Open Play</t>
        </is>
      </c>
      <c r="H147" s="63" t="inlineStr">
        <is>
          <t xml:space="preserve">Ankle </t>
        </is>
      </c>
      <c r="I147" s="63" t="inlineStr">
        <is>
          <t>P3</t>
        </is>
      </c>
      <c r="J147" s="63" t="inlineStr">
        <is>
          <t>NO</t>
        </is>
      </c>
      <c r="K147" s="63">
        <f>TEXT(A147,"MMM-YY")</f>
        <v/>
      </c>
      <c r="L147" s="63">
        <f>HOUR(B147)</f>
        <v/>
      </c>
      <c r="M147" s="63">
        <f>IF(L147&lt;6,"Night",IF(L147&lt;12,"Morning",IF(L147&lt;18,"Afternoon","Evening")))</f>
        <v/>
      </c>
      <c r="N147" s="63">
        <f>TEXT(A147,"DDD")</f>
        <v/>
      </c>
      <c r="O147" s="63">
        <f>WEEKNUM(A147)</f>
        <v/>
      </c>
      <c r="P147" s="63">
        <f>INDEX({"Q1","Q1","Q1","Q2","Q2","Q2","Q3","Q3","Q3","Q4","Q4","Q4"},MONTH(A147))</f>
        <v/>
      </c>
    </row>
    <row r="148">
      <c r="A148" s="199" t="n">
        <v>45923</v>
      </c>
      <c r="B148" s="200" t="n">
        <v>0.78125</v>
      </c>
      <c r="C148" s="63" t="n">
        <v>23</v>
      </c>
      <c r="D148" s="63" t="inlineStr">
        <is>
          <t>Muscle Strains</t>
        </is>
      </c>
      <c r="E148" s="63" t="inlineStr">
        <is>
          <t xml:space="preserve">Activity </t>
        </is>
      </c>
      <c r="F148" s="63" t="inlineStr">
        <is>
          <t>1KM RUN/WALK PATH</t>
        </is>
      </c>
      <c r="G148" s="63" t="inlineStr">
        <is>
          <t>Open Play</t>
        </is>
      </c>
      <c r="H148" s="63" t="inlineStr">
        <is>
          <t xml:space="preserve">Ankle </t>
        </is>
      </c>
      <c r="I148" s="63" t="inlineStr">
        <is>
          <t>P3</t>
        </is>
      </c>
      <c r="J148" s="63" t="inlineStr">
        <is>
          <t>NO</t>
        </is>
      </c>
      <c r="K148" s="63">
        <f>TEXT(A148,"MMM-YY")</f>
        <v/>
      </c>
      <c r="L148" s="63">
        <f>HOUR(B148)</f>
        <v/>
      </c>
      <c r="M148" s="63">
        <f>IF(L148&lt;6,"Night",IF(L148&lt;12,"Morning",IF(L148&lt;18,"Afternoon","Evening")))</f>
        <v/>
      </c>
      <c r="N148" s="63">
        <f>TEXT(A148,"DDD")</f>
        <v/>
      </c>
      <c r="O148" s="63">
        <f>WEEKNUM(A148)</f>
        <v/>
      </c>
      <c r="P148" s="63">
        <f>INDEX({"Q1","Q1","Q1","Q2","Q2","Q2","Q3","Q3","Q3","Q4","Q4","Q4"},MONTH(A148))</f>
        <v/>
      </c>
    </row>
    <row r="149">
      <c r="A149" s="199" t="n">
        <v>45924</v>
      </c>
      <c r="B149" s="200" t="n">
        <v>0.4375</v>
      </c>
      <c r="C149" s="63" t="n">
        <v>22</v>
      </c>
      <c r="D149" s="63" t="inlineStr">
        <is>
          <t>Muscle Strains</t>
        </is>
      </c>
      <c r="E149" s="63" t="inlineStr">
        <is>
          <t xml:space="preserve">Activity </t>
        </is>
      </c>
      <c r="F149" s="63" t="inlineStr">
        <is>
          <t xml:space="preserve">11- A side </t>
        </is>
      </c>
      <c r="G149" s="63" t="inlineStr">
        <is>
          <t>Open Play</t>
        </is>
      </c>
      <c r="H149" s="63" t="inlineStr">
        <is>
          <t xml:space="preserve">Upper limb Muscle </t>
        </is>
      </c>
      <c r="I149" s="63" t="inlineStr">
        <is>
          <t>P3</t>
        </is>
      </c>
      <c r="J149" s="63" t="inlineStr">
        <is>
          <t>NO</t>
        </is>
      </c>
      <c r="K149" s="63">
        <f>TEXT(A149,"MMM-YY")</f>
        <v/>
      </c>
      <c r="L149" s="63">
        <f>HOUR(B149)</f>
        <v/>
      </c>
      <c r="M149" s="63">
        <f>IF(L149&lt;6,"Night",IF(L149&lt;12,"Morning",IF(L149&lt;18,"Afternoon","Evening")))</f>
        <v/>
      </c>
      <c r="N149" s="63">
        <f>TEXT(A149,"DDD")</f>
        <v/>
      </c>
      <c r="O149" s="63">
        <f>WEEKNUM(A149)</f>
        <v/>
      </c>
      <c r="P149" s="63">
        <f>INDEX({"Q1","Q1","Q1","Q2","Q2","Q2","Q3","Q3","Q3","Q4","Q4","Q4"},MONTH(A149))</f>
        <v/>
      </c>
    </row>
    <row r="150">
      <c r="A150" s="199" t="n">
        <v>45925</v>
      </c>
      <c r="B150" s="200" t="n">
        <v>0.5</v>
      </c>
      <c r="C150" s="63" t="n">
        <v>21</v>
      </c>
      <c r="D150" s="63" t="inlineStr">
        <is>
          <t>Slips, Trips and falls</t>
        </is>
      </c>
      <c r="E150" s="63" t="inlineStr">
        <is>
          <t xml:space="preserve">Activity </t>
        </is>
      </c>
      <c r="F150" s="63" t="inlineStr">
        <is>
          <t>Basketball</t>
        </is>
      </c>
      <c r="G150" s="63" t="inlineStr">
        <is>
          <t>Open Play</t>
        </is>
      </c>
      <c r="H150" s="63" t="inlineStr">
        <is>
          <t xml:space="preserve">Ankle </t>
        </is>
      </c>
      <c r="I150" s="63" t="inlineStr">
        <is>
          <t>P3</t>
        </is>
      </c>
      <c r="J150" s="63" t="inlineStr">
        <is>
          <t>NO</t>
        </is>
      </c>
      <c r="K150" s="63">
        <f>TEXT(A150,"MMM-YY")</f>
        <v/>
      </c>
      <c r="L150" s="63">
        <f>HOUR(B150)</f>
        <v/>
      </c>
      <c r="M150" s="63">
        <f>IF(L150&lt;6,"Night",IF(L150&lt;12,"Morning",IF(L150&lt;18,"Afternoon","Evening")))</f>
        <v/>
      </c>
      <c r="N150" s="63">
        <f>TEXT(A150,"DDD")</f>
        <v/>
      </c>
      <c r="O150" s="63">
        <f>WEEKNUM(A150)</f>
        <v/>
      </c>
      <c r="P150" s="63">
        <f>INDEX({"Q1","Q1","Q1","Q2","Q2","Q2","Q3","Q3","Q3","Q4","Q4","Q4"},MONTH(A150))</f>
        <v/>
      </c>
    </row>
    <row r="151">
      <c r="A151" s="199" t="n">
        <v>45937</v>
      </c>
      <c r="B151" s="200" t="n">
        <v>0.5805555555555556</v>
      </c>
      <c r="C151" s="63" t="n">
        <v>13</v>
      </c>
      <c r="D151" s="63" t="inlineStr">
        <is>
          <t>Slips, Trips and falls</t>
        </is>
      </c>
      <c r="E151" s="63" t="inlineStr">
        <is>
          <t xml:space="preserve">Activity </t>
        </is>
      </c>
      <c r="F151" s="63" t="inlineStr">
        <is>
          <t xml:space="preserve">11- A side </t>
        </is>
      </c>
      <c r="G151" s="63" t="inlineStr">
        <is>
          <t>Training</t>
        </is>
      </c>
      <c r="H151" s="63" t="inlineStr">
        <is>
          <t xml:space="preserve">Hand </t>
        </is>
      </c>
      <c r="I151" s="63" t="inlineStr">
        <is>
          <t>P3</t>
        </is>
      </c>
      <c r="J151" s="63" t="inlineStr">
        <is>
          <t>NO</t>
        </is>
      </c>
      <c r="K151" s="63">
        <f>TEXT(A151,"MMM-YY")</f>
        <v/>
      </c>
      <c r="L151" s="63">
        <f>HOUR(B151)</f>
        <v/>
      </c>
      <c r="M151" s="63">
        <f>IF(L151&lt;6,"Night",IF(L151&lt;12,"Morning",IF(L151&lt;18,"Afternoon","Evening")))</f>
        <v/>
      </c>
      <c r="N151" s="63">
        <f>TEXT(A151,"DDD")</f>
        <v/>
      </c>
      <c r="O151" s="63">
        <f>WEEKNUM(A151)</f>
        <v/>
      </c>
      <c r="P151" s="63">
        <f>INDEX({"Q1","Q1","Q1","Q2","Q2","Q2","Q3","Q3","Q3","Q4","Q4","Q4"},MONTH(A151))</f>
        <v/>
      </c>
    </row>
    <row r="152">
      <c r="A152" s="199" t="n">
        <v>45937</v>
      </c>
      <c r="B152" s="200" t="n">
        <v>0.6090277777777777</v>
      </c>
      <c r="C152" s="63" t="n">
        <v>14</v>
      </c>
      <c r="D152" s="63" t="inlineStr">
        <is>
          <t>Player-to-Player</t>
        </is>
      </c>
      <c r="E152" s="63" t="inlineStr">
        <is>
          <t xml:space="preserve">Activity </t>
        </is>
      </c>
      <c r="F152" s="63" t="inlineStr">
        <is>
          <t xml:space="preserve">11- A side </t>
        </is>
      </c>
      <c r="G152" s="63" t="inlineStr">
        <is>
          <t>Training</t>
        </is>
      </c>
      <c r="H152" s="63" t="inlineStr">
        <is>
          <t xml:space="preserve">Arm </t>
        </is>
      </c>
      <c r="I152" s="63" t="inlineStr">
        <is>
          <t>P3</t>
        </is>
      </c>
      <c r="J152" s="63" t="inlineStr">
        <is>
          <t>NO</t>
        </is>
      </c>
      <c r="K152" s="63">
        <f>TEXT(A152,"MMM-YY")</f>
        <v/>
      </c>
      <c r="L152" s="63">
        <f>HOUR(B152)</f>
        <v/>
      </c>
      <c r="M152" s="63">
        <f>IF(L152&lt;6,"Night",IF(L152&lt;12,"Morning",IF(L152&lt;18,"Afternoon","Evening")))</f>
        <v/>
      </c>
      <c r="N152" s="63">
        <f>TEXT(A152,"DDD")</f>
        <v/>
      </c>
      <c r="O152" s="63">
        <f>WEEKNUM(A152)</f>
        <v/>
      </c>
      <c r="P152" s="63">
        <f>INDEX({"Q1","Q1","Q1","Q2","Q2","Q2","Q3","Q3","Q3","Q4","Q4","Q4"},MONTH(A152))</f>
        <v/>
      </c>
    </row>
    <row r="153">
      <c r="A153" s="199" t="n">
        <v>45938</v>
      </c>
      <c r="B153" s="200" t="n">
        <v>0.6388888888888888</v>
      </c>
      <c r="C153" s="63" t="n">
        <v>10</v>
      </c>
      <c r="D153" s="63" t="inlineStr">
        <is>
          <t>Player-to-Player</t>
        </is>
      </c>
      <c r="E153" s="63" t="inlineStr">
        <is>
          <t xml:space="preserve">Activity </t>
        </is>
      </c>
      <c r="F153" s="63" t="inlineStr">
        <is>
          <t>Athletics track</t>
        </is>
      </c>
      <c r="G153" s="63" t="inlineStr">
        <is>
          <t xml:space="preserve">Afternoon Program </t>
        </is>
      </c>
      <c r="H153" s="63" t="inlineStr">
        <is>
          <t xml:space="preserve">Facial Injury </t>
        </is>
      </c>
      <c r="I153" s="63" t="inlineStr">
        <is>
          <t>P3</t>
        </is>
      </c>
      <c r="J153" s="63" t="inlineStr">
        <is>
          <t>NO</t>
        </is>
      </c>
      <c r="K153" s="63">
        <f>TEXT(A153,"MMM-YY")</f>
        <v/>
      </c>
      <c r="L153" s="63">
        <f>HOUR(B153)</f>
        <v/>
      </c>
      <c r="M153" s="63">
        <f>IF(L153&lt;6,"Night",IF(L153&lt;12,"Morning",IF(L153&lt;18,"Afternoon","Evening")))</f>
        <v/>
      </c>
      <c r="N153" s="63">
        <f>TEXT(A153,"DDD")</f>
        <v/>
      </c>
      <c r="O153" s="63">
        <f>WEEKNUM(A153)</f>
        <v/>
      </c>
      <c r="P153" s="63">
        <f>INDEX({"Q1","Q1","Q1","Q2","Q2","Q2","Q3","Q3","Q3","Q4","Q4","Q4"},MONTH(A153))</f>
        <v/>
      </c>
    </row>
    <row r="154">
      <c r="A154" s="199" t="n">
        <v>45939</v>
      </c>
      <c r="B154" s="200" t="n">
        <v>0.5888888888888889</v>
      </c>
      <c r="C154" s="63" t="n">
        <v>15</v>
      </c>
      <c r="D154" s="63" t="inlineStr">
        <is>
          <t>Player-to-Object</t>
        </is>
      </c>
      <c r="E154" s="63" t="inlineStr">
        <is>
          <t xml:space="preserve">Equipment </t>
        </is>
      </c>
      <c r="F154" s="63" t="inlineStr">
        <is>
          <t xml:space="preserve">5 A side </t>
        </is>
      </c>
      <c r="G154" s="63" t="inlineStr">
        <is>
          <t>Open Play</t>
        </is>
      </c>
      <c r="H154" s="63" t="inlineStr">
        <is>
          <t xml:space="preserve">Wrist </t>
        </is>
      </c>
      <c r="I154" s="63" t="inlineStr">
        <is>
          <t>P3</t>
        </is>
      </c>
      <c r="J154" s="63" t="inlineStr">
        <is>
          <t>NO</t>
        </is>
      </c>
      <c r="K154" s="63">
        <f>TEXT(A154,"MMM-YY")</f>
        <v/>
      </c>
      <c r="L154" s="63">
        <f>HOUR(B154)</f>
        <v/>
      </c>
      <c r="M154" s="63">
        <f>IF(L154&lt;6,"Night",IF(L154&lt;12,"Morning",IF(L154&lt;18,"Afternoon","Evening")))</f>
        <v/>
      </c>
      <c r="N154" s="63">
        <f>TEXT(A154,"DDD")</f>
        <v/>
      </c>
      <c r="O154" s="63">
        <f>WEEKNUM(A154)</f>
        <v/>
      </c>
      <c r="P154" s="63">
        <f>INDEX({"Q1","Q1","Q1","Q2","Q2","Q2","Q3","Q3","Q3","Q4","Q4","Q4"},MONTH(A154))</f>
        <v/>
      </c>
    </row>
    <row r="155">
      <c r="A155" s="199" t="n">
        <v>45940</v>
      </c>
      <c r="B155" s="200" t="n">
        <v>0.5854166666666667</v>
      </c>
      <c r="C155" s="63" t="n">
        <v>22</v>
      </c>
      <c r="D155" s="63" t="inlineStr">
        <is>
          <t>Player-to-Player</t>
        </is>
      </c>
      <c r="E155" s="63" t="inlineStr">
        <is>
          <t xml:space="preserve">Activity </t>
        </is>
      </c>
      <c r="F155" s="63" t="inlineStr">
        <is>
          <t>Outdoor gym</t>
        </is>
      </c>
      <c r="G155" s="63" t="inlineStr">
        <is>
          <t>Open Play</t>
        </is>
      </c>
      <c r="H155" s="63" t="inlineStr">
        <is>
          <t xml:space="preserve">Knee </t>
        </is>
      </c>
      <c r="I155" s="63" t="inlineStr">
        <is>
          <t>P3</t>
        </is>
      </c>
      <c r="J155" s="63" t="inlineStr">
        <is>
          <t>NO</t>
        </is>
      </c>
      <c r="K155" s="63">
        <f>TEXT(A155,"MMM-YY")</f>
        <v/>
      </c>
      <c r="L155" s="63">
        <f>HOUR(B155)</f>
        <v/>
      </c>
      <c r="M155" s="63">
        <f>IF(L155&lt;6,"Night",IF(L155&lt;12,"Morning",IF(L155&lt;18,"Afternoon","Evening")))</f>
        <v/>
      </c>
      <c r="N155" s="63">
        <f>TEXT(A155,"DDD")</f>
        <v/>
      </c>
      <c r="O155" s="63">
        <f>WEEKNUM(A155)</f>
        <v/>
      </c>
      <c r="P155" s="63">
        <f>INDEX({"Q1","Q1","Q1","Q2","Q2","Q2","Q3","Q3","Q3","Q4","Q4","Q4"},MONTH(A155))</f>
        <v/>
      </c>
    </row>
    <row r="156">
      <c r="A156" s="199" t="n">
        <v>45947</v>
      </c>
      <c r="B156" s="200" t="n">
        <v>0.5194444444444445</v>
      </c>
      <c r="C156" s="63" t="n">
        <v>19</v>
      </c>
      <c r="D156" s="63" t="inlineStr">
        <is>
          <t>Player-to-Player</t>
        </is>
      </c>
      <c r="E156" s="63" t="inlineStr">
        <is>
          <t xml:space="preserve">Activity </t>
        </is>
      </c>
      <c r="F156" s="63" t="inlineStr">
        <is>
          <t xml:space="preserve">11- A side </t>
        </is>
      </c>
      <c r="G156" s="63" t="inlineStr">
        <is>
          <t>Open Play</t>
        </is>
      </c>
      <c r="H156" s="63" t="inlineStr">
        <is>
          <t xml:space="preserve">Lower limb </t>
        </is>
      </c>
      <c r="I156" s="63" t="inlineStr">
        <is>
          <t>P3</t>
        </is>
      </c>
      <c r="J156" s="63" t="inlineStr">
        <is>
          <t>NO</t>
        </is>
      </c>
      <c r="K156" s="63">
        <f>TEXT(A156,"MMM-YY")</f>
        <v/>
      </c>
      <c r="L156" s="63">
        <f>HOUR(B156)</f>
        <v/>
      </c>
      <c r="M156" s="63">
        <f>IF(L156&lt;6,"Night",IF(L156&lt;12,"Morning",IF(L156&lt;18,"Afternoon","Evening")))</f>
        <v/>
      </c>
      <c r="N156" s="63">
        <f>TEXT(A156,"DDD")</f>
        <v/>
      </c>
      <c r="O156" s="63">
        <f>WEEKNUM(A156)</f>
        <v/>
      </c>
      <c r="P156" s="63">
        <f>INDEX({"Q1","Q1","Q1","Q2","Q2","Q2","Q3","Q3","Q3","Q4","Q4","Q4"},MONTH(A156))</f>
        <v/>
      </c>
    </row>
    <row r="157">
      <c r="A157" s="199" t="n">
        <v>45948</v>
      </c>
      <c r="B157" s="200" t="n">
        <v>0.6944444444444444</v>
      </c>
      <c r="C157" s="63" t="n">
        <v>20</v>
      </c>
      <c r="D157" s="63" t="inlineStr">
        <is>
          <t>Muscle Strains</t>
        </is>
      </c>
      <c r="E157" s="63" t="inlineStr">
        <is>
          <t xml:space="preserve">Activity </t>
        </is>
      </c>
      <c r="F157" s="63" t="inlineStr">
        <is>
          <t xml:space="preserve">11- A side </t>
        </is>
      </c>
      <c r="G157" s="63" t="inlineStr">
        <is>
          <t>Open Play</t>
        </is>
      </c>
      <c r="H157" s="63" t="inlineStr">
        <is>
          <t xml:space="preserve">Back </t>
        </is>
      </c>
      <c r="I157" s="63" t="inlineStr">
        <is>
          <t>P3</t>
        </is>
      </c>
      <c r="J157" s="63" t="inlineStr">
        <is>
          <t>NO</t>
        </is>
      </c>
      <c r="K157" s="63">
        <f>TEXT(A157,"MMM-YY")</f>
        <v/>
      </c>
      <c r="L157" s="63">
        <f>HOUR(B157)</f>
        <v/>
      </c>
      <c r="M157" s="63">
        <f>IF(L157&lt;6,"Night",IF(L157&lt;12,"Morning",IF(L157&lt;18,"Afternoon","Evening")))</f>
        <v/>
      </c>
      <c r="N157" s="63">
        <f>TEXT(A157,"DDD")</f>
        <v/>
      </c>
      <c r="O157" s="63">
        <f>WEEKNUM(A157)</f>
        <v/>
      </c>
      <c r="P157" s="63">
        <f>INDEX({"Q1","Q1","Q1","Q2","Q2","Q2","Q3","Q3","Q3","Q4","Q4","Q4"},MONTH(A157))</f>
        <v/>
      </c>
    </row>
    <row r="158">
      <c r="A158" s="199" t="n">
        <v>45952</v>
      </c>
      <c r="B158" s="200" t="n">
        <v>0.5590277777777778</v>
      </c>
      <c r="C158" s="63" t="n">
        <v>40</v>
      </c>
      <c r="D158" s="63" t="inlineStr">
        <is>
          <t>Struck by Equipment</t>
        </is>
      </c>
      <c r="E158" s="63" t="inlineStr">
        <is>
          <t xml:space="preserve">Activity </t>
        </is>
      </c>
      <c r="F158" s="63" t="inlineStr">
        <is>
          <t>Change Rooms</t>
        </is>
      </c>
      <c r="G158" s="63" t="inlineStr">
        <is>
          <t>Open Play</t>
        </is>
      </c>
      <c r="H158" s="63" t="inlineStr">
        <is>
          <t xml:space="preserve">Hand </t>
        </is>
      </c>
      <c r="I158" s="63" t="inlineStr">
        <is>
          <t>P3</t>
        </is>
      </c>
      <c r="J158" s="63" t="inlineStr">
        <is>
          <t>NO</t>
        </is>
      </c>
      <c r="K158" s="63">
        <f>TEXT(A158,"MMM-YY")</f>
        <v/>
      </c>
      <c r="L158" s="63">
        <f>HOUR(B158)</f>
        <v/>
      </c>
      <c r="M158" s="63">
        <f>IF(L158&lt;6,"Night",IF(L158&lt;12,"Morning",IF(L158&lt;18,"Afternoon","Evening")))</f>
        <v/>
      </c>
      <c r="N158" s="63">
        <f>TEXT(A158,"DDD")</f>
        <v/>
      </c>
      <c r="O158" s="63">
        <f>WEEKNUM(A158)</f>
        <v/>
      </c>
      <c r="P158" s="63">
        <f>INDEX({"Q1","Q1","Q1","Q2","Q2","Q2","Q3","Q3","Q3","Q4","Q4","Q4"},MONTH(A158))</f>
        <v/>
      </c>
    </row>
    <row r="159">
      <c r="A159" s="199" t="n">
        <v>45952</v>
      </c>
      <c r="B159" s="200" t="n">
        <v>0.6763888888888889</v>
      </c>
      <c r="C159" s="63" t="n">
        <v>12</v>
      </c>
      <c r="D159" s="63" t="inlineStr">
        <is>
          <t>Player-to-Player</t>
        </is>
      </c>
      <c r="E159" s="63" t="inlineStr">
        <is>
          <t xml:space="preserve">Activity </t>
        </is>
      </c>
      <c r="F159" s="63" t="inlineStr">
        <is>
          <t xml:space="preserve">11- A side </t>
        </is>
      </c>
      <c r="G159" s="63" t="inlineStr">
        <is>
          <t>Open Play</t>
        </is>
      </c>
      <c r="H159" s="63" t="inlineStr">
        <is>
          <t xml:space="preserve">Knee </t>
        </is>
      </c>
      <c r="I159" s="63" t="inlineStr">
        <is>
          <t>P3</t>
        </is>
      </c>
      <c r="J159" s="63" t="inlineStr">
        <is>
          <t>NO</t>
        </is>
      </c>
      <c r="K159" s="63">
        <f>TEXT(A159,"MMM-YY")</f>
        <v/>
      </c>
      <c r="L159" s="63">
        <f>HOUR(B159)</f>
        <v/>
      </c>
      <c r="M159" s="63">
        <f>IF(L159&lt;6,"Night",IF(L159&lt;12,"Morning",IF(L159&lt;18,"Afternoon","Evening")))</f>
        <v/>
      </c>
      <c r="N159" s="63">
        <f>TEXT(A159,"DDD")</f>
        <v/>
      </c>
      <c r="O159" s="63">
        <f>WEEKNUM(A159)</f>
        <v/>
      </c>
      <c r="P159" s="63">
        <f>INDEX({"Q1","Q1","Q1","Q2","Q2","Q2","Q3","Q3","Q3","Q4","Q4","Q4"},MONTH(A159))</f>
        <v/>
      </c>
    </row>
    <row r="160">
      <c r="A160" s="199" t="n">
        <v>45958</v>
      </c>
      <c r="B160" s="200" t="n">
        <v>0.7368055555555556</v>
      </c>
      <c r="C160" s="63" t="n">
        <v>14</v>
      </c>
      <c r="D160" s="63" t="inlineStr">
        <is>
          <t>Slips, Trips and falls</t>
        </is>
      </c>
      <c r="E160" s="63" t="inlineStr">
        <is>
          <t xml:space="preserve">Activity </t>
        </is>
      </c>
      <c r="F160" s="63" t="inlineStr">
        <is>
          <t>Skate Park</t>
        </is>
      </c>
      <c r="G160" s="63" t="inlineStr">
        <is>
          <t>Girl Skate</t>
        </is>
      </c>
      <c r="H160" s="63" t="inlineStr">
        <is>
          <t xml:space="preserve">Wrist </t>
        </is>
      </c>
      <c r="I160" s="63" t="inlineStr">
        <is>
          <t>P3</t>
        </is>
      </c>
      <c r="J160" s="63" t="inlineStr">
        <is>
          <t>NO</t>
        </is>
      </c>
      <c r="K160" s="63">
        <f>TEXT(A160,"MMM-YY")</f>
        <v/>
      </c>
      <c r="L160" s="63">
        <f>HOUR(B160)</f>
        <v/>
      </c>
      <c r="M160" s="63">
        <f>IF(L160&lt;6,"Night",IF(L160&lt;12,"Morning",IF(L160&lt;18,"Afternoon","Evening")))</f>
        <v/>
      </c>
      <c r="N160" s="63">
        <f>TEXT(A160,"DDD")</f>
        <v/>
      </c>
      <c r="O160" s="63">
        <f>WEEKNUM(A160)</f>
        <v/>
      </c>
      <c r="P160" s="63">
        <f>INDEX({"Q1","Q1","Q1","Q2","Q2","Q2","Q3","Q3","Q3","Q4","Q4","Q4"},MONTH(A160))</f>
        <v/>
      </c>
    </row>
    <row r="161">
      <c r="A161" s="199" t="n">
        <v>45960</v>
      </c>
      <c r="B161" s="200" t="n">
        <v>0.7263888888888889</v>
      </c>
      <c r="C161" s="63" t="n">
        <v>19</v>
      </c>
      <c r="D161" s="63" t="inlineStr">
        <is>
          <t>Player-to-Object</t>
        </is>
      </c>
      <c r="E161" s="63" t="inlineStr">
        <is>
          <t xml:space="preserve">Equipment </t>
        </is>
      </c>
      <c r="F161" s="63" t="inlineStr">
        <is>
          <t xml:space="preserve">5 A side </t>
        </is>
      </c>
      <c r="G161" s="63" t="inlineStr">
        <is>
          <t>Open Play</t>
        </is>
      </c>
      <c r="H161" s="63" t="inlineStr">
        <is>
          <t xml:space="preserve">Facial Injury </t>
        </is>
      </c>
      <c r="I161" s="63" t="inlineStr">
        <is>
          <t>P3</t>
        </is>
      </c>
      <c r="J161" s="63" t="inlineStr">
        <is>
          <t>NO</t>
        </is>
      </c>
      <c r="K161" s="63">
        <f>TEXT(A161,"MMM-YY")</f>
        <v/>
      </c>
      <c r="L161" s="63">
        <f>HOUR(B161)</f>
        <v/>
      </c>
      <c r="M161" s="63">
        <f>IF(L161&lt;6,"Night",IF(L161&lt;12,"Morning",IF(L161&lt;18,"Afternoon","Evening")))</f>
        <v/>
      </c>
      <c r="N161" s="63">
        <f>TEXT(A161,"DDD")</f>
        <v/>
      </c>
      <c r="O161" s="63">
        <f>WEEKNUM(A161)</f>
        <v/>
      </c>
      <c r="P161" s="63">
        <f>INDEX({"Q1","Q1","Q1","Q2","Q2","Q2","Q3","Q3","Q3","Q4","Q4","Q4"},MONTH(A161))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2025-12-05T10:39:54Z</dcterms:modified>
  <cp:lastModifiedBy>stephen tapala</cp:lastModifiedBy>
</cp:coreProperties>
</file>