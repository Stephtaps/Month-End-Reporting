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0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1. Report Type:</t>
        </is>
      </c>
      <c r="B4" s="49" t="inlineStr">
        <is>
          <t>Monthly</t>
        </is>
      </c>
      <c r="C4" s="45" t="n"/>
      <c r="D4" s="50" t="inlineStr">
        <is>
          <t>2. Select Month:</t>
        </is>
      </c>
      <c r="E4" s="57" t="inlineStr">
        <is>
          <t>Oct-25</t>
        </is>
      </c>
      <c r="F4" s="52" t="n"/>
      <c r="G4" s="50" t="inlineStr">
        <is>
          <t>3. Select Week:</t>
        </is>
      </c>
      <c r="H4" s="57" t="inlineStr">
        <is>
          <t>Week 1</t>
        </is>
      </c>
      <c r="I4" s="45" t="n"/>
      <c r="J4" s="50" t="inlineStr">
        <is>
          <t>4. Select Quarter:</t>
        </is>
      </c>
      <c r="K4" s="58" t="inlineStr">
        <is>
          <t>Q4</t>
        </is>
      </c>
      <c r="L4" s="45" t="n"/>
      <c r="M4" s="45" t="n"/>
      <c r="N4" s="45" t="n"/>
      <c r="P4" s="29" t="inlineStr">
        <is>
          <t>TOP RISK SITE</t>
        </is>
      </c>
    </row>
    <row r="5">
      <c r="A5" s="59" t="inlineStr">
        <is>
          <t>→ Monthly: Select Report Type + Month</t>
        </is>
      </c>
      <c r="B5" s="45" t="n"/>
      <c r="C5" s="45" t="n"/>
      <c r="D5" s="45" t="n"/>
      <c r="E5" s="59" t="inlineStr">
        <is>
          <t>→ Weekly: Select Month + Week</t>
        </is>
      </c>
      <c r="F5" s="45" t="n"/>
      <c r="G5" s="45" t="n"/>
      <c r="H5" s="45" t="n"/>
      <c r="I5" s="59" t="inlineStr">
        <is>
          <t>→ Quarterly: Select Quarter</t>
        </is>
      </c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edicalData[Month]=E4)*((WEEKNUM(MedicalData[Date])-WEEKNUM(DATE(YEAR(MedicalData[Date]),MONTH(MedicalData[Date]),1))+1)=VALUE(RIGHT(H4,1)))*1),IF(B4="Monthly",COUNTIF(MedicalData[Month],E4),IF(B4="Quarterly",COUNTIF(MedicalData[Quarter],K4),COUNTA(MedicalData[Date]))))</f>
        <v/>
      </c>
      <c r="F7" s="45" t="n"/>
      <c r="G7" s="54" t="inlineStr">
        <is>
          <t>Ambulance</t>
        </is>
      </c>
      <c r="H7" s="56">
        <f>IF(B4="Weekly",SUMPRODUCT((MedicalData[Month]=E4)*((WEEKNUM(MedicalData[Date])-WEEKNUM(DATE(YEAR(MedicalData[Date]),MONTH(MedicalData[Date]),1))+1)=VALUE(RIGHT(H4,1)))*(MedicalData[Hospital Transportation]="Yes")*1),IF(B4="Monthly",COUNTIFS(MedicalData[Month],E4,MedicalData[Hospital Transportation],"Yes"),IF(B4="Quarterly",COUNTIFS(MedicalData[Quarter],K4,MedicalData[Hospital Transportation],"Yes"),COUNTIF(MedicalData[Hospital Transportation],"Yes"))))</f>
        <v/>
      </c>
      <c r="I7" s="45" t="n"/>
      <c r="J7" s="54" t="inlineStr">
        <is>
          <t>Avg Age</t>
        </is>
      </c>
      <c r="K7" s="56">
        <f>IFERROR(ROUND(IF(B4="Weekly",AVERAGEIF(MedicalData[Month],E4,MedicalData[Age]),IF(B4="Monthly",AVERAGEIF(MedicalData[Month],E4,MedicalData[Age]),IF(B4="Quarterly",AVERAGEIF(MedicalData[Quarter],K4,MedicalData[Age]),AVERAGE(MedicalData[Age])))),0),"-")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"&amp;E4,IF(B4="Quarterly","QUARTERLY BREAKDOWN: "&amp;K4&amp;" "&amp;RIGHT(E4,2),"ALL TIME REPORT")))</f>
        <v/>
      </c>
    </row>
    <row r="89">
      <c r="A89" s="41" t="n"/>
    </row>
    <row r="90">
      <c r="A90" s="42">
        <f>IF(B4="Weekly","Day",IF(B4="Monthly","Week",IF(B4="Quarterly","Month","Period")))</f>
        <v/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IF(B4="Weekly","Day 1",IF(B4="Monthly","Week 1",IF(B4="Quarterly",TEXT(DATE(YEAR(TODAY()),(1+IF(K4="Q1",0,IF(K4="Q2",3,IF(K4="Q3",6,9)))),1),"MMM-YY"),"1")))</f>
        <v/>
      </c>
      <c r="B91">
        <f>IF(B4="Quarterly",
        IF(1&gt;3,"",COUNTIFS(MedicalData[Quarter],K4,MedicalData[Month],TEXT(DATE(YEAR(TODAY()),(1+IF(K4="Q1",0,IF(K4="Q2",3,IF(K4="Q3",6,9)))),1),"MMM-YY"))),
        IF(B4="Monthly",
            SUMPRODUCT((MedicalData[Month]=E4)*((WEEKNUM(MedicalData[Date])-WEEKNUM(DATE(YEAR(MedicalData[Date]),MONTH(MedicalData[Date]),1))+1)=1)*1),
            IF(B4="Weekly",
                SUMPRODUCT((MedicalData[Month]=E4)*((WEEKNUM(MedicalData[Date])-WEEKNUM(DATE(YEAR(MedicalData[Date]),MONTH(MedicalData[Date]),1))+1)=VALUE(RIGHT(H4,1)))*(WEEKDAY(MedicalData[Date])=2)*1),
                "")))</f>
        <v/>
      </c>
      <c r="C91">
        <f>IF(B4="Quarterly",
        IF(1&gt;3,"",COUNTIFS(MedicalData[Quarter],K4,MedicalData[Month],TEXT(DATE(YEAR(TODAY()),(1+IF(K4="Q1",0,IF(K4="Q2",3,IF(K4="Q3",6,9)))),1),"MMM-YY"),MedicalData[Hospital Transportation],"Yes")),
        IF(B4="Monthly",
            SUMPRODUCT((MedicalData[Month]=E4)*((WEEKNUM(MedicalData[Date])-WEEKNUM(DATE(YEAR(MedicalData[Date]),MONTH(MedicalData[Date]),1))+1)=1)*(MedicalData[Hospital Transportation]="Yes")*1),
            ""))</f>
        <v/>
      </c>
      <c r="D91">
        <f>IF(B91=0,"-",IFERROR(ROUND(AVERAGEIF(MedicalData[Month],E4,MedicalData[Age]),0),"-"))</f>
        <v/>
      </c>
    </row>
    <row r="92">
      <c r="A92">
        <f>IF(B4="Weekly","Day 2",IF(B4="Monthly","Week 2",IF(B4="Quarterly",TEXT(DATE(YEAR(TODAY()),(2+IF(K4="Q1",0,IF(K4="Q2",3,IF(K4="Q3",6,9)))),1),"MMM-YY"),"2")))</f>
        <v/>
      </c>
      <c r="B92">
        <f>IF(B4="Quarterly",
        IF(2&gt;3,"",COUNTIFS(MedicalData[Quarter],K4,MedicalData[Month],TEXT(DATE(YEAR(TODAY()),(2+IF(K4="Q1",0,IF(K4="Q2",3,IF(K4="Q3",6,9)))),1),"MMM-YY"))),
        IF(B4="Monthly",
            SUMPRODUCT((MedicalData[Month]=E4)*((WEEKNUM(MedicalData[Date])-WEEKNUM(DATE(YEAR(MedicalData[Date]),MONTH(MedicalData[Date]),1))+1)=2)*1),
            IF(B4="Weekly",
                SUMPRODUCT((MedicalData[Month]=E4)*((WEEKNUM(MedicalData[Date])-WEEKNUM(DATE(YEAR(MedicalData[Date]),MONTH(MedicalData[Date]),1))+1)=VALUE(RIGHT(H4,1)))*(WEEKDAY(MedicalData[Date])=3)*1),
                "")))</f>
        <v/>
      </c>
      <c r="C92">
        <f>IF(B4="Quarterly",
        IF(2&gt;3,"",COUNTIFS(MedicalData[Quarter],K4,MedicalData[Month],TEXT(DATE(YEAR(TODAY()),(2+IF(K4="Q1",0,IF(K4="Q2",3,IF(K4="Q3",6,9)))),1),"MMM-YY"),MedicalData[Hospital Transportation],"Yes")),
        IF(B4="Monthly",
            SUMPRODUCT((MedicalData[Month]=E4)*((WEEKNUM(MedicalData[Date])-WEEKNUM(DATE(YEAR(MedicalData[Date]),MONTH(MedicalData[Date]),1))+1)=2)*(MedicalData[Hospital Transportation]="Yes")*1),
            ""))</f>
        <v/>
      </c>
      <c r="D92">
        <f>IF(B92=0,"-",IFERROR(ROUND(AVERAGEIF(MedicalData[Month],E4,MedicalData[Age]),0),"-"))</f>
        <v/>
      </c>
    </row>
    <row r="93">
      <c r="A93">
        <f>IF(B4="Weekly","Day 3",IF(B4="Monthly","Week 3",IF(B4="Quarterly",TEXT(DATE(YEAR(TODAY()),(3+IF(K4="Q1",0,IF(K4="Q2",3,IF(K4="Q3",6,9)))),1),"MMM-YY"),"3")))</f>
        <v/>
      </c>
      <c r="B93">
        <f>IF(B4="Quarterly",
        IF(3&gt;3,"",COUNTIFS(MedicalData[Quarter],K4,MedicalData[Month],TEXT(DATE(YEAR(TODAY()),(3+IF(K4="Q1",0,IF(K4="Q2",3,IF(K4="Q3",6,9)))),1),"MMM-YY"))),
        IF(B4="Monthly",
            SUMPRODUCT((MedicalData[Month]=E4)*((WEEKNUM(MedicalData[Date])-WEEKNUM(DATE(YEAR(MedicalData[Date]),MONTH(MedicalData[Date]),1))+1)=3)*1),
            IF(B4="Weekly",
                SUMPRODUCT((MedicalData[Month]=E4)*((WEEKNUM(MedicalData[Date])-WEEKNUM(DATE(YEAR(MedicalData[Date]),MONTH(MedicalData[Date]),1))+1)=VALUE(RIGHT(H4,1)))*(WEEKDAY(MedicalData[Date])=4)*1),
                "")))</f>
        <v/>
      </c>
      <c r="C93">
        <f>IF(B4="Quarterly",
        IF(3&gt;3,"",COUNTIFS(MedicalData[Quarter],K4,MedicalData[Month],TEXT(DATE(YEAR(TODAY()),(3+IF(K4="Q1",0,IF(K4="Q2",3,IF(K4="Q3",6,9)))),1),"MMM-YY"),MedicalData[Hospital Transportation],"Yes")),
        IF(B4="Monthly",
            SUMPRODUCT((MedicalData[Month]=E4)*((WEEKNUM(MedicalData[Date])-WEEKNUM(DATE(YEAR(MedicalData[Date]),MONTH(MedicalData[Date]),1))+1)=3)*(MedicalData[Hospital Transportation]="Yes")*1),
            ""))</f>
        <v/>
      </c>
      <c r="D93">
        <f>IF(B93=0,"-",IFERROR(ROUND(AVERAGEIF(MedicalData[Month],E4,MedicalData[Age]),0),"-"))</f>
        <v/>
      </c>
    </row>
    <row r="94">
      <c r="A94">
        <f>IF(B4="Quarterly","",IF(B4="Weekly","Day 4","Week 4"))</f>
        <v/>
      </c>
      <c r="B94">
        <f>IF(B4="Quarterly",
        IF(4&gt;3,"",COUNTIFS(MedicalData[Quarter],K4,MedicalData[Month],TEXT(DATE(YEAR(TODAY()),(4+IF(K4="Q1",0,IF(K4="Q2",3,IF(K4="Q3",6,9)))),1),"MMM-YY"))),
        IF(B4="Monthly",
            SUMPRODUCT((MedicalData[Month]=E4)*((WEEKNUM(MedicalData[Date])-WEEKNUM(DATE(YEAR(MedicalData[Date]),MONTH(MedicalData[Date]),1))+1)=4)*1),
            IF(B4="Weekly",
                SUMPRODUCT((MedicalData[Month]=E4)*((WEEKNUM(MedicalData[Date])-WEEKNUM(DATE(YEAR(MedicalData[Date]),MONTH(MedicalData[Date]),1))+1)=VALUE(RIGHT(H4,1)))*(WEEKDAY(MedicalData[Date])=5)*1),
                "")))</f>
        <v/>
      </c>
      <c r="C94">
        <f>IF(B4="Quarterly",
        IF(4&gt;3,"",COUNTIFS(MedicalData[Quarter],K4,MedicalData[Month],TEXT(DATE(YEAR(TODAY()),(4+IF(K4="Q1",0,IF(K4="Q2",3,IF(K4="Q3",6,9)))),1),"MMM-YY"),MedicalData[Hospital Transportation],"Yes")),
        IF(B4="Monthly",
            SUMPRODUCT((MedicalData[Month]=E4)*((WEEKNUM(MedicalData[Date])-WEEKNUM(DATE(YEAR(MedicalData[Date]),MONTH(MedicalData[Date]),1))+1)=4)*(MedicalData[Hospital Transportation]="Yes")*1),
            ""))</f>
        <v/>
      </c>
      <c r="D94">
        <f>IF(B94=0,"-",IFERROR(ROUND(AVERAGEIF(MedicalData[Month],E4,MedicalData[Age]),0),"-"))</f>
        <v/>
      </c>
    </row>
    <row r="95">
      <c r="A95">
        <f>IF(B4="Quarterly","",IF(B4="Weekly","Day 5","Week 5"))</f>
        <v/>
      </c>
      <c r="B95">
        <f>IF(B4="Quarterly",
        IF(5&gt;3,"",COUNTIFS(MedicalData[Quarter],K4,MedicalData[Month],TEXT(DATE(YEAR(TODAY()),(5+IF(K4="Q1",0,IF(K4="Q2",3,IF(K4="Q3",6,9)))),1),"MMM-YY"))),
        IF(B4="Monthly",
            SUMPRODUCT((MedicalData[Month]=E4)*((WEEKNUM(MedicalData[Date])-WEEKNUM(DATE(YEAR(MedicalData[Date]),MONTH(MedicalData[Date]),1))+1)=5)*1),
            IF(B4="Weekly",
                SUMPRODUCT((MedicalData[Month]=E4)*((WEEKNUM(MedicalData[Date])-WEEKNUM(DATE(YEAR(MedicalData[Date]),MONTH(MedicalData[Date]),1))+1)=VALUE(RIGHT(H4,1)))*(WEEKDAY(MedicalData[Date])=6)*1),
                "")))</f>
        <v/>
      </c>
      <c r="C95">
        <f>IF(B4="Quarterly",
        IF(5&gt;3,"",COUNTIFS(MedicalData[Quarter],K4,MedicalData[Month],TEXT(DATE(YEAR(TODAY()),(5+IF(K4="Q1",0,IF(K4="Q2",3,IF(K4="Q3",6,9)))),1),"MMM-YY"),MedicalData[Hospital Transportation],"Yes")),
        IF(B4="Monthly",
            SUMPRODUCT((MedicalData[Month]=E4)*((WEEKNUM(MedicalData[Date])-WEEKNUM(DATE(YEAR(MedicalData[Date]),MONTH(MedicalData[Date]),1))+1)=5)*(MedicalData[Hospital Transportation]="Yes")*1),
            ""))</f>
        <v/>
      </c>
      <c r="D95">
        <f>IF(B95=0,"-",IFERROR(ROUND(AVERAGEIF(MedicalData[Month],E4,MedicalData[Age]),0),"-"))</f>
        <v/>
      </c>
    </row>
    <row r="96">
      <c r="A96" s="30" t="inlineStr">
        <is>
          <t>TOTAL</t>
        </is>
      </c>
      <c r="B96" s="30">
        <f>SUM(B91:B95)</f>
        <v/>
      </c>
      <c r="C96" s="30">
        <f>SUM(C91:C95)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</t>
        </is>
      </c>
      <c r="B103" s="42">
        <f>COUNTIF(MedicalData[Quarter],A103)</f>
        <v/>
      </c>
      <c r="C103" s="42">
        <f>COUNTIFS(MedicalData[Quarter],A103,MedicalData[Hospital Transportation],"Yes")</f>
        <v/>
      </c>
      <c r="D103" s="42">
        <f>IFERROR(ROUND(AVERAGEIF(MedicalData[Quarter],A103,MedicalData[Age]),0),"-")</f>
        <v/>
      </c>
      <c r="E103" s="42" t="n"/>
      <c r="F103" s="42" t="n"/>
    </row>
    <row r="104">
      <c r="A104" t="inlineStr">
        <is>
          <t>Q2</t>
        </is>
      </c>
      <c r="B104">
        <f>COUNTIF(MedicalData[Quarter],A104)</f>
        <v/>
      </c>
      <c r="C104">
        <f>COUNTIFS(MedicalData[Quarter],A104,MedicalData[Hospital Transportation],"Yes")</f>
        <v/>
      </c>
      <c r="D104">
        <f>IFERROR(ROUND(AVERAGEIF(MedicalData[Quarter],A104,MedicalData[Age]),0),"-")</f>
        <v/>
      </c>
      <c r="E104">
        <f>IF(B103=0,"-",TEXT((B104-B103)/B103,"+0%;-0%"))</f>
        <v/>
      </c>
      <c r="F104" s="30" t="n"/>
    </row>
    <row r="105">
      <c r="A105" t="inlineStr">
        <is>
          <t>Q3</t>
        </is>
      </c>
      <c r="B105">
        <f>COUNTIF(MedicalData[Quarter],A105)</f>
        <v/>
      </c>
      <c r="C105">
        <f>COUNTIFS(MedicalData[Quarter],A105,MedicalData[Hospital Transportation],"Yes")</f>
        <v/>
      </c>
      <c r="D105">
        <f>IFERROR(ROUND(AVERAGEIF(MedicalData[Quarter],A105,MedicalData[Age]),0),"-")</f>
        <v/>
      </c>
      <c r="E105">
        <f>IF(B104=0,"-",TEXT((B105-B104)/B104,"+0%;-0%"))</f>
        <v/>
      </c>
      <c r="F105" s="30" t="n"/>
    </row>
    <row r="106">
      <c r="A106" t="inlineStr">
        <is>
          <t>Q4</t>
        </is>
      </c>
      <c r="B106">
        <f>COUNTIF(MedicalData[Quarter],A106)</f>
        <v/>
      </c>
      <c r="C106">
        <f>COUNTIFS(MedicalData[Quarter],A106,MedicalData[Hospital Transportation],"Yes")</f>
        <v/>
      </c>
      <c r="D106">
        <f>IFERROR(ROUND(AVERAGEIF(MedicalData[Quarter],A106,MedicalData[Age]),0),"-")</f>
        <v/>
      </c>
      <c r="E106">
        <f>IF(B105=0,"-",TEXT((B106-B105)/B105,"+0%;-0%"))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IFERROR(ROUND(AVERAGE(MedicalData[Age]),0),"-")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IF(Dashboard!B4="Monthly",COUNTIFS(MedicalData[Site],A4,MedicalData[Month],Dashboard!E4),IF(Dashboard!B4="Quarterly",COUNTIFS(MedicalData[Site],A4,MedicalData[Quarter],Dashboard!K4),COUNTIF(MedicalData[Site],A4)))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IF(Dashboard!B4="Monthly",COUNTIFS(MedicalData[Site],A5,MedicalData[Month],Dashboard!E4),IF(Dashboard!B4="Quarterly",COUNTIFS(MedicalData[Site],A5,MedicalData[Quarter],Dashboard!K4),COUNTIF(MedicalData[Site],A5)))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IF(Dashboard!B4="Monthly",COUNTIFS(MedicalData[Site],A6,MedicalData[Month],Dashboard!E4),IF(Dashboard!B4="Quarterly",COUNTIFS(MedicalData[Site],A6,MedicalData[Quarter],Dashboard!K4),COUNTIF(MedicalData[Site],A6)))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IF(Dashboard!B4="Monthly",COUNTIFS(MedicalData[Site],A7,MedicalData[Month],Dashboard!E4),IF(Dashboard!B4="Quarterly",COUNTIFS(MedicalData[Site],A7,MedicalData[Quarter],Dashboard!K4),COUNTIF(MedicalData[Site],A7)))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IF(Dashboard!B4="Monthly",COUNTIFS(MedicalData[Site],A8,MedicalData[Month],Dashboard!E4),IF(Dashboard!B4="Quarterly",COUNTIFS(MedicalData[Site],A8,MedicalData[Quarter],Dashboard!K4),COUNTIF(MedicalData[Site],A8)))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IF(Dashboard!B4="Monthly",COUNTIFS(MedicalData[Site],A9,MedicalData[Month],Dashboard!E4),IF(Dashboard!B4="Quarterly",COUNTIFS(MedicalData[Site],A9,MedicalData[Quarter],Dashboard!K4),COUNTIF(MedicalData[Site],A9)))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IF(Dashboard!B4="Monthly",COUNTIFS(MedicalData[Site],A10,MedicalData[Month],Dashboard!E4),IF(Dashboard!B4="Quarterly",COUNTIFS(MedicalData[Site],A10,MedicalData[Quarter],Dashboard!K4),COUNTIF(MedicalData[Site],A10)))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IF(Dashboard!B4="Monthly",COUNTIFS(MedicalData[Site],A11,MedicalData[Month],Dashboard!E4),IF(Dashboard!B4="Quarterly",COUNTIFS(MedicalData[Site],A11,MedicalData[Quarter],Dashboard!K4),COUNTIF(MedicalData[Site],A11)))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IF(Dashboard!B4="Monthly",COUNTIFS(MedicalData[Site],A12,MedicalData[Month],Dashboard!E4),IF(Dashboard!B4="Quarterly",COUNTIFS(MedicalData[Site],A12,MedicalData[Quarter],Dashboard!K4),COUNTIF(MedicalData[Site],A12)))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IF(Dashboard!B4="Monthly",COUNTIFS(MedicalData[Site],A13,MedicalData[Month],Dashboard!E4),IF(Dashboard!B4="Quarterly",COUNTIFS(MedicalData[Site],A13,MedicalData[Quarter],Dashboard!K4),COUNTIF(MedicalData[Site],A13)))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IF(Dashboard!B4="Monthly",COUNTIFS(MedicalData[Site],A14,MedicalData[Month],Dashboard!E4),IF(Dashboard!B4="Quarterly",COUNTIFS(MedicalData[Site],A14,MedicalData[Quarter],Dashboard!K4),COUNTIF(MedicalData[Site],A14)))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IF(Dashboard!B4="Monthly",COUNTIFS(MedicalData[Site],A15,MedicalData[Month],Dashboard!E4),IF(Dashboard!B4="Quarterly",COUNTIFS(MedicalData[Site],A15,MedicalData[Quarter],Dashboard!K4),COUNTIF(MedicalData[Site],A15)))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IF(Dashboard!B4="Monthly",COUNTIFS(MedicalData[Site],A16,MedicalData[Month],Dashboard!E4),IF(Dashboard!B4="Quarterly",COUNTIFS(MedicalData[Site],A16,MedicalData[Quarter],Dashboard!K4),COUNTIF(MedicalData[Site],A16)))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IF(Dashboard!B4="Monthly",COUNTIFS(MedicalData[Site],A17,MedicalData[Month],Dashboard!E4),IF(Dashboard!B4="Quarterly",COUNTIFS(MedicalData[Site],A17,MedicalData[Quarter],Dashboard!K4),COUNTIF(MedicalData[Site],A17)))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IF(Dashboard!B4="Monthly",COUNTIFS(MedicalData[Site],A18,MedicalData[Month],Dashboard!E4),IF(Dashboard!B4="Quarterly",COUNTIFS(MedicalData[Site],A18,MedicalData[Quarter],Dashboard!K4),COUNTIF(MedicalData[Site],A18)))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IF(Dashboard!B4="Monthly",COUNTIFS(MedicalData[Site],A19,MedicalData[Month],Dashboard!E4),IF(Dashboard!B4="Quarterly",COUNTIFS(MedicalData[Site],A19,MedicalData[Quarter],Dashboard!K4),COUNTIF(MedicalData[Site],A19)))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IF(Dashboard!B4="Monthly",COUNTIFS(MedicalData[Age],"&gt;=36",MedicalData[Month],Dashboard!E4),IF(Dashboard!B4="Quarterly",COUNTIFS(MedicalData[Age],"&gt;=36",MedicalData[Quarter],Dashboard!K4),COUNTIFS(MedicalData[Age],"&gt;=36")))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IF(Dashboard!B4="Monthly",COUNTIFS(MedicalData[History/Mechanism of injury],A4,MedicalData[Month],Dashboard!E4),IF(Dashboard!B4="Quarterly",COUNTIFS(MedicalData[History/Mechanism of injury],A4,MedicalData[Quarter],Dashboard!K4),COUNTIF(MedicalData[History/Mechanism of injury],A4)))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IF(Dashboard!B4="Monthly",COUNTIFS(MedicalData[History/Mechanism of injury],A5,MedicalData[Month],Dashboard!E4),IF(Dashboard!B4="Quarterly",COUNTIFS(MedicalData[History/Mechanism of injury],A5,MedicalData[Quarter],Dashboard!K4),COUNTIF(MedicalData[History/Mechanism of injury],A5)))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IF(Dashboard!B4="Monthly",COUNTIFS(MedicalData[History/Mechanism of injury],A6,MedicalData[Month],Dashboard!E4),IF(Dashboard!B4="Quarterly",COUNTIFS(MedicalData[History/Mechanism of injury],A6,MedicalData[Quarter],Dashboard!K4),COUNTIF(MedicalData[History/Mechanism of injury],A6)))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IF(Dashboard!B4="Monthly",COUNTIFS(MedicalData[History/Mechanism of injury],A7,MedicalData[Month],Dashboard!E4),IF(Dashboard!B4="Quarterly",COUNTIFS(MedicalData[History/Mechanism of injury],A7,MedicalData[Quarter],Dashboard!K4),COUNTIF(MedicalData[History/Mechanism of injury],A7)))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IF(Dashboard!B4="Monthly",COUNTIFS(MedicalData[History/Mechanism of injury],A8,MedicalData[Month],Dashboard!E4),IF(Dashboard!B4="Quarterly",COUNTIFS(MedicalData[History/Mechanism of injury],A8,MedicalData[Quarter],Dashboard!K4),COUNTIF(MedicalData[History/Mechanism of injury],A8)))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IF(Dashboard!B4="Monthly",COUNTIFS(MedicalData[History/Mechanism of injury],A9,MedicalData[Month],Dashboard!E4),IF(Dashboard!B4="Quarterly",COUNTIFS(MedicalData[History/Mechanism of injury],A9,MedicalData[Quarter],Dashboard!K4),COUNTIF(MedicalData[History/Mechanism of injury],A9)))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IF(Dashboard!B4="Monthly",COUNTIFS(MedicalData[History/Mechanism of injury],A10,MedicalData[Month],Dashboard!E4),IF(Dashboard!B4="Quarterly",COUNTIFS(MedicalData[History/Mechanism of injury],A10,MedicalData[Quarter],Dashboard!K4),COUNTIF(MedicalData[History/Mechanism of injury],A10)))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IF(Dashboard!B4="Monthly",COUNTIFS(MedicalData[History/Mechanism of injury],A11,MedicalData[Month],Dashboard!E4),IF(Dashboard!B4="Quarterly",COUNTIFS(MedicalData[History/Mechanism of injury],A11,MedicalData[Quarter],Dashboard!K4),COUNTIF(MedicalData[History/Mechanism of injury],A11)))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IF(Dashboard!B4="Monthly",COUNTIFS(MedicalData[History/Mechanism of injury],A12,MedicalData[Month],Dashboard!E4),IF(Dashboard!B4="Quarterly",COUNTIFS(MedicalData[History/Mechanism of injury],A12,MedicalData[Quarter],Dashboard!K4),COUNTIF(MedicalData[History/Mechanism of injury],A12)))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IF(Dashboard!B4="Monthly",COUNTIFS(MedicalData[History/Mechanism of injury],A13,MedicalData[Month],Dashboard!E4),IF(Dashboard!B4="Quarterly",COUNTIFS(MedicalData[History/Mechanism of injury],A13,MedicalData[Quarter],Dashboard!K4),COUNTIF(MedicalData[History/Mechanism of injury],A13)))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IF(Dashboard!B4="Monthly",COUNTIFS(MedicalData[History/Mechanism of injury],A14,MedicalData[Month],Dashboard!E4),IF(Dashboard!B4="Quarterly",COUNTIFS(MedicalData[History/Mechanism of injury],A14,MedicalData[Quarter],Dashboard!K4),COUNTIF(MedicalData[History/Mechanism of injury],A14)))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IF(Dashboard!B4="Monthly",COUNTIFS(MedicalData[History/Mechanism of injury],A15,MedicalData[Month],Dashboard!E4),IF(Dashboard!B4="Quarterly",COUNTIFS(MedicalData[History/Mechanism of injury],A15,MedicalData[Quarter],Dashboard!K4),COUNTIF(MedicalData[History/Mechanism of injury],A15)))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IF(Dashboard!B4="Monthly",COUNTIFS(MedicalData[History/Mechanism of injury],A16,MedicalData[Month],Dashboard!E4),IF(Dashboard!B4="Quarterly",COUNTIFS(MedicalData[History/Mechanism of injury],A16,MedicalData[Quarter],Dashboard!K4),COUNTIF(MedicalData[History/Mechanism of injury],A16)))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IF(Dashboard!B4="Monthly",COUNTIFS(MedicalData[History/Mechanism of injury],A17,MedicalData[Month],Dashboard!E4),IF(Dashboard!B4="Quarterly",COUNTIFS(MedicalData[History/Mechanism of injury],A17,MedicalData[Quarter],Dashboard!K4),COUNTIF(MedicalData[History/Mechanism of injury],A17)))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IF(Dashboard!B4="Monthly",COUNTIFS(MedicalData[History/Mechanism of injury],A18,MedicalData[Month],Dashboard!E4),IF(Dashboard!B4="Quarterly",COUNTIFS(MedicalData[History/Mechanism of injury],A18,MedicalData[Quarter],Dashboard!K4),COUNTIF(MedicalData[History/Mechanism of injury],A18)))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IF(Dashboard!B4="Monthly",COUNTIFS(MedicalData[History/Mechanism of injury],A19,MedicalData[Month],Dashboard!E4),IF(Dashboard!B4="Quarterly",COUNTIFS(MedicalData[History/Mechanism of injury],A19,MedicalData[Quarter],Dashboard!K4),COUNTIF(MedicalData[History/Mechanism of injury],A19)))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IF(Dashboard!B4="Monthly",COUNTIFS(MedicalData[Time Period],A4,MedicalData[Month],Dashboard!E4),IF(Dashboard!B4="Quarterly",COUNTIFS(MedicalData[Time Period],A4,MedicalData[Quarter],Dashboard!K4),COUNTIF(MedicalData[Time Period],A4)))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IF(Dashboard!B4="Monthly",COUNTIFS(MedicalData[Time Period],A5,MedicalData[Month],Dashboard!E4),IF(Dashboard!B4="Quarterly",COUNTIFS(MedicalData[Time Period],A5,MedicalData[Quarter],Dashboard!K4),COUNTIF(MedicalData[Time Period],A5)))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IF(Dashboard!B4="Monthly",COUNTIFS(MedicalData[Time Period],A6,MedicalData[Month],Dashboard!E4),IF(Dashboard!B4="Quarterly",COUNTIFS(MedicalData[Time Period],A6,MedicalData[Quarter],Dashboard!K4),COUNTIF(MedicalData[Time Period],A6)))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IF(Dashboard!B4="Monthly",COUNTIFS(MedicalData[Time Period],A7,MedicalData[Month],Dashboard!E4),IF(Dashboard!B4="Quarterly",COUNTIFS(MedicalData[Time Period],A7,MedicalData[Quarter],Dashboard!K4),COUNTIF(MedicalData[Time Period],A7)))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2025-12-04T10:43:57Z</dcterms:modified>
  <cp:lastModifiedBy>stephen tapala</cp:lastModifiedBy>
</cp:coreProperties>
</file>