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ta Entry" sheetId="1" state="visible" r:id="rId1"/>
    <sheet name="Dashboard" sheetId="2" state="visible" r:id="rId2"/>
    <sheet name="Monthly Stats" sheetId="3" state="visible" r:id="rId3"/>
    <sheet name="Venue Analysis" sheetId="4" state="visible" r:id="rId4"/>
    <sheet name="Age Analysis" sheetId="5" state="visible" r:id="rId5"/>
    <sheet name="Injury Analysis" sheetId="6" state="visible" r:id="rId6"/>
    <sheet name="Mechanism Analysis" sheetId="7" state="visible" r:id="rId7"/>
    <sheet name="Program Analysis" sheetId="8" state="visible" r:id="rId8"/>
    <sheet name="Time Analysis" sheetId="9" state="visible" r:id="rId9"/>
    <sheet name="Lists" sheetId="10" state="visible" r:id="rId10"/>
    <sheet name="Severity Analysis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0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</fonts>
  <fills count="1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Incidents by Venue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'Venue Analysis'!$B$3</f>
              <strCache>
                <ptCount val="1"/>
                <pt idx="0">
                  <v>Count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  <a:sp3d contourW="9525">
              <contourClr rgb="000000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'Venue Analysis'!$A$4:$A$19</f>
              <strCache>
                <ptCount val="16"/>
                <pt idx="0">
                  <v>Skate Park</v>
                </pt>
                <pt idx="1">
                  <v xml:space="preserve">5 A side </v>
                </pt>
                <pt idx="2">
                  <v>Basketball</v>
                </pt>
                <pt idx="3">
                  <v>Outdoor gym</v>
                </pt>
                <pt idx="4">
                  <v xml:space="preserve">JDI Studio </v>
                </pt>
                <pt idx="5">
                  <v>PHINDA Studio</v>
                </pt>
                <pt idx="6">
                  <v>PHAMBILI Studio</v>
                </pt>
                <pt idx="7">
                  <v xml:space="preserve">11- A side </v>
                </pt>
                <pt idx="8">
                  <v>Athletics track</v>
                </pt>
                <pt idx="9">
                  <v>Registration area</v>
                </pt>
                <pt idx="10">
                  <v xml:space="preserve">Car parking </v>
                </pt>
                <pt idx="11">
                  <v>Change Rooms</v>
                </pt>
                <pt idx="12">
                  <v>Equipment Rooms</v>
                </pt>
                <pt idx="13">
                  <v>1KM RUN/WALK PATH</v>
                </pt>
                <pt idx="14">
                  <v>Bleachers</v>
                </pt>
                <pt idx="15">
                  <v>P GATE</v>
                </pt>
              </strCache>
            </strRef>
          </cat>
          <val>
            <numRef>
              <f>'Venue Analysis'!$B$4:$B$19</f>
              <numCache>
                <formatCode>General</formatCode>
                <ptCount val="16"/>
                <pt idx="0">
                  <v>2</v>
                </pt>
                <pt idx="1">
                  <v>5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15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  <pt idx="12">
                  <v>0</v>
                </pt>
                <pt idx="13">
                  <v>1</v>
                </pt>
                <pt idx="14">
                  <v>0</v>
                </pt>
                <pt idx="15">
                  <v>0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Venue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Incidents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Age Distribution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3DChart>
        <varyColors val="1"/>
        <ser>
          <idx val="0"/>
          <order val="0"/>
          <tx>
            <strRef>
              <f>'Age Analysis'!$B$3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'Age Analysis'!$A$4:$A$8</f>
              <strCache>
                <ptCount val="5"/>
                <pt idx="0">
                  <v>0-12 years</v>
                </pt>
                <pt idx="1">
                  <v>13-17 years</v>
                </pt>
                <pt idx="2">
                  <v>18-25 years</v>
                </pt>
                <pt idx="3">
                  <v>26-35 years</v>
                </pt>
                <pt idx="4">
                  <v>36+ years</v>
                </pt>
              </strCache>
            </strRef>
          </cat>
          <val>
            <numRef>
              <f>'Age Analysis'!$B$4:$B$8</f>
              <numCache>
                <formatCode>General</formatCode>
                <ptCount val="5"/>
                <pt idx="0">
                  <v>4</v>
                </pt>
                <pt idx="1">
                  <v>11</v>
                </pt>
                <pt idx="2">
                  <v>11</v>
                </pt>
                <pt idx="3">
                  <v>0</v>
                </pt>
                <pt idx="4">
                  <v>1</v>
                </pt>
              </numCache>
            </numRef>
          </val>
        </ser>
        <dLbls>
          <dLblPos val="outEnd"/>
          <showLegendKey val="0"/>
          <showVal val="0"/>
          <showCatName val="0"/>
          <showSerName val="0"/>
          <showPercent val="1"/>
          <showBubbleSize val="0"/>
          <showLeaderLines val="0"/>
        </dLbls>
      </pie3DChart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Most Common Injuries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'Injury Analysis'!$A$4</f>
              <strCache>
                <ptCount val="1"/>
                <pt idx="0">
                  <v xml:space="preserve">Head Injury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"/>
          <order val="1"/>
          <tx>
            <strRef>
              <f>'Injury Analysis'!$A$5</f>
              <strCache>
                <ptCount val="1"/>
                <pt idx="0">
                  <v xml:space="preserve">Neck Injury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2"/>
          <order val="2"/>
          <tx>
            <strRef>
              <f>'Injury Analysis'!$A$6</f>
              <strCache>
                <ptCount val="1"/>
                <pt idx="0">
                  <v xml:space="preserve">Facial Injury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Analysis'!$B$6</f>
              <numCache>
                <formatCode>General</formatCode>
                <ptCount val="1"/>
                <pt idx="0">
                  <v>3</v>
                </pt>
              </numCache>
            </numRef>
          </val>
        </ser>
        <ser>
          <idx val="3"/>
          <order val="3"/>
          <tx>
            <strRef>
              <f>'Injury Analysis'!$A$7</f>
              <strCache>
                <ptCount val="1"/>
                <pt idx="0">
                  <v xml:space="preserve">spinal injury 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tx>
            <strRef>
              <f>'Injury Analysis'!$A$8</f>
              <strCache>
                <ptCount val="1"/>
                <pt idx="0">
                  <v xml:space="preserve">Shoulder 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Analysis'!$B$8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tx>
            <strRef>
              <f>'Injury Analysis'!$A$9</f>
              <strCache>
                <ptCount val="1"/>
                <pt idx="0">
                  <v xml:space="preserve">Elbow 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Analysis'!$B$9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tx>
            <strRef>
              <f>'Injury Analysis'!$A$10</f>
              <strCache>
                <ptCount val="1"/>
                <pt idx="0">
                  <v xml:space="preserve">Wrist 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7"/>
          <order val="7"/>
          <tx>
            <strRef>
              <f>'Injury Analysis'!$A$11</f>
              <strCache>
                <ptCount val="1"/>
                <pt idx="0">
                  <v xml:space="preserve">Hand 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8"/>
          <order val="8"/>
          <tx>
            <strRef>
              <f>'Injury Analysis'!$A$12</f>
              <strCache>
                <ptCount val="1"/>
                <pt idx="0">
                  <v xml:space="preserve">Arm </v>
                </pt>
              </strCache>
            </strRef>
          </tx>
          <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Analysis'!$B$12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9"/>
          <order val="9"/>
          <tx>
            <strRef>
              <f>'Injury Analysis'!$A$13</f>
              <strCache>
                <ptCount val="1"/>
                <pt idx="0">
                  <v xml:space="preserve">Upper limb Muscle </v>
                </pt>
              </strCache>
            </strRef>
          </tx>
          <spPr>
            <a:solidFill>
              <a:schemeClr val="accent4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0"/>
          <order val="10"/>
          <tx>
            <strRef>
              <f>'Injury Analysis'!$A$14</f>
              <strCache>
                <ptCount val="1"/>
                <pt idx="0">
                  <v xml:space="preserve">Chest </v>
                </pt>
              </strCache>
            </strRef>
          </tx>
          <spPr>
            <a:solidFill>
              <a:schemeClr val="accent5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1"/>
          <order val="11"/>
          <tx>
            <strRef>
              <f>'Injury Analysis'!$A$15</f>
              <strCache>
                <ptCount val="1"/>
                <pt idx="0">
                  <v xml:space="preserve">Abdominal </v>
                </pt>
              </strCache>
            </strRef>
          </tx>
          <spPr>
            <a:solidFill>
              <a:schemeClr val="accent6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2"/>
          <order val="12"/>
          <tx>
            <strRef>
              <f>'Injury Analysis'!$A$16</f>
              <strCache>
                <ptCount val="1"/>
                <pt idx="0">
                  <v xml:space="preserve">Back </v>
                </pt>
              </strCache>
            </strRef>
          </tx>
          <spPr>
            <a:solidFill>
              <a:schemeClr val="accent1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Analysis'!$B$16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3"/>
          <order val="13"/>
          <tx>
            <strRef>
              <f>'Injury Analysis'!$A$17</f>
              <strCache>
                <ptCount val="1"/>
                <pt idx="0">
                  <v xml:space="preserve">Hip </v>
                </pt>
              </strCache>
            </strRef>
          </tx>
          <spPr>
            <a:solidFill>
              <a:schemeClr val="accent2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4"/>
          <order val="14"/>
          <tx>
            <strRef>
              <f>'Injury Analysis'!$A$18</f>
              <strCache>
                <ptCount val="1"/>
                <pt idx="0">
                  <v xml:space="preserve">Knee </v>
                </pt>
              </strCache>
            </strRef>
          </tx>
          <spPr>
            <a:solidFill>
              <a:schemeClr val="accent3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Analysis'!$B$18</f>
              <numCache>
                <formatCode>General</formatCode>
                <ptCount val="1"/>
                <pt idx="0">
                  <v>5</v>
                </pt>
              </numCache>
            </numRef>
          </val>
        </ser>
        <ser>
          <idx val="15"/>
          <order val="15"/>
          <tx>
            <strRef>
              <f>'Injury Analysis'!$A$19</f>
              <strCache>
                <ptCount val="1"/>
                <pt idx="0">
                  <v xml:space="preserve">Ankle </v>
                </pt>
              </strCache>
            </strRef>
          </tx>
          <spPr>
            <a:solidFill>
              <a:schemeClr val="accent4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Analysis'!$B$19</f>
              <numCache>
                <formatCode>General</formatCode>
                <ptCount val="1"/>
                <pt idx="0">
                  <v>4</v>
                </pt>
              </numCache>
            </numRef>
          </val>
        </ser>
        <ser>
          <idx val="16"/>
          <order val="16"/>
          <tx>
            <strRef>
              <f>'Injury Analysis'!$A$20</f>
              <strCache>
                <ptCount val="1"/>
                <pt idx="0">
                  <v xml:space="preserve">Foot </v>
                </pt>
              </strCache>
            </strRef>
          </tx>
          <spPr>
            <a:solidFill>
              <a:schemeClr val="accent5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7"/>
          <order val="17"/>
          <tx>
            <strRef>
              <f>'Injury Analysis'!$A$21</f>
              <strCache>
                <ptCount val="1"/>
                <pt idx="0">
                  <v xml:space="preserve">Lower limb </v>
                </pt>
              </strCache>
            </strRef>
          </tx>
          <spPr>
            <a:solidFill>
              <a:schemeClr val="accent6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8"/>
          <order val="18"/>
          <tx>
            <strRef>
              <f>'Injury Analysis'!$A$22</f>
              <strCache>
                <ptCount val="1"/>
                <pt idx="0">
                  <v xml:space="preserve">General </v>
                </pt>
              </strCache>
            </strRef>
          </tx>
          <spPr>
            <a:solidFill>
              <a:schemeClr val="accent1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Analysis'!$B$22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9"/>
          <order val="19"/>
          <tx>
            <strRef>
              <f>'Injury Analysis'!$A$23</f>
              <strCache>
                <ptCount val="1"/>
                <pt idx="0">
                  <v xml:space="preserve">Medical </v>
                </pt>
              </strCache>
            </strRef>
          </tx>
          <spPr>
            <a:solidFill>
              <a:schemeClr val="accent2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Injury Mechanisms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'Mechanism Analysis'!$B$3</f>
              <strCache>
                <ptCount val="1"/>
                <pt idx="0">
                  <v>Count</v>
                </pt>
              </strCache>
            </strRef>
          </tx>
          <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'Mechanism Analysis'!$A$4:$A$24</f>
              <strCache>
                <ptCount val="21"/>
                <pt idx="0">
                  <v>Player-to-Player</v>
                </pt>
                <pt idx="1">
                  <v>Player-to-Object</v>
                </pt>
                <pt idx="2">
                  <v>Struck by Equipment</v>
                </pt>
                <pt idx="3">
                  <v>Slips, Trips and falls</v>
                </pt>
                <pt idx="4">
                  <v>Falls from Height</v>
                </pt>
                <pt idx="5">
                  <v>Muscle Strains</v>
                </pt>
                <pt idx="6">
                  <v>Heat-Related</v>
                </pt>
                <pt idx="7">
                  <v>Stress Fractures</v>
                </pt>
                <pt idx="8">
                  <v>Tendonitis</v>
                </pt>
                <pt idx="9">
                  <v>Incorrect Use</v>
                </pt>
                <pt idx="10">
                  <v>Malfunction</v>
                </pt>
                <pt idx="11">
                  <v>Poor Lighting</v>
                </pt>
                <pt idx="12">
                  <v>Inadequate Signage</v>
                </pt>
                <pt idx="13">
                  <v>Cleaning Agents</v>
                </pt>
                <pt idx="14">
                  <v>Infections</v>
                </pt>
                <pt idx="15">
                  <v>Allergies</v>
                </pt>
                <pt idx="16">
                  <v>Harassment or Bullying</v>
                </pt>
                <pt idx="17">
                  <v>Performance Pressure</v>
                </pt>
                <pt idx="18">
                  <v>Assault</v>
                </pt>
                <pt idx="19">
                  <v>Theft</v>
                </pt>
                <pt idx="20">
                  <v>Medical</v>
                </pt>
              </strCache>
            </strRef>
          </cat>
          <val>
            <numRef>
              <f>'Mechanism Analysis'!$B$4:$B$24</f>
              <numCache>
                <formatCode>General</formatCode>
                <ptCount val="21"/>
                <pt idx="0">
                  <v>12</v>
                </pt>
                <pt idx="1">
                  <v>2</v>
                </pt>
                <pt idx="2">
                  <v>2</v>
                </pt>
                <pt idx="3">
                  <v>6</v>
                </pt>
                <pt idx="4">
                  <v>0</v>
                </pt>
                <pt idx="5">
                  <v>4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ZA"/>
              <a:t>Incidents by Time of Day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'Time Analysis'!$C$3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invertIfNegative val="0"/>
          <cat>
            <multiLvlStrRef>
              <multiLvlStrCache>
                <lvl>
                  <pt idx="0">
                    <v>6:00 - 11:59</v>
                  </pt>
                  <pt idx="1">
                    <v>12:00 - 17:59</v>
                  </pt>
                  <pt idx="2">
                    <v>18:00 - 21:59</v>
                  </pt>
                  <pt idx="3">
                    <v>22:00 - 5:59</v>
                  </pt>
                </lvl>
                <lvl>
                  <pt idx="0">
                    <v>Morning</v>
                  </pt>
                  <pt idx="1">
                    <v>Afternoon</v>
                  </pt>
                  <pt idx="2">
                    <v>Evening</v>
                  </pt>
                  <pt idx="3">
                    <v>Night</v>
                  </pt>
                </lvl>
              </multiLvlStrCache>
              <f>'Time Analysis'!$A$4:$B$7</f>
            </multiLvlStrRef>
          </cat>
          <val>
            <numRef>
              <f>'Time Analysis'!$C$4:$C$7</f>
              <numCache>
                <formatCode>General</formatCode>
                <ptCount val="4"/>
                <pt idx="0">
                  <v>4</v>
                </pt>
                <pt idx="1">
                  <v>12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Monthly Incident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'Monthly Stats'!$B$3</f>
              <strCache>
                <ptCount val="1"/>
                <pt idx="0">
                  <v>Total Cases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'Monthly Stats'!$A$4:$A$27</f>
              <strCache>
                <ptCount val="24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  <pt idx="12">
                  <v>Jan-25</v>
                </pt>
                <pt idx="13">
                  <v>Feb-25</v>
                </pt>
                <pt idx="14">
                  <v>Mar-25</v>
                </pt>
                <pt idx="15">
                  <v>Apr-25</v>
                </pt>
                <pt idx="16">
                  <v>May-25</v>
                </pt>
                <pt idx="17">
                  <v>Jun-25</v>
                </pt>
                <pt idx="18">
                  <v>Jul-25</v>
                </pt>
                <pt idx="19">
                  <v>Aug-25</v>
                </pt>
                <pt idx="20">
                  <v>Sep-25</v>
                </pt>
                <pt idx="21">
                  <v>Oct-25</v>
                </pt>
                <pt idx="22">
                  <v>Nov-25</v>
                </pt>
                <pt idx="23">
                  <v>Dec-25</v>
                </pt>
              </strCache>
            </strRef>
          </cat>
          <val>
            <numRef>
              <f>'Monthly Stats'!$B$4:$B$27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16</v>
                </pt>
                <pt idx="21">
                  <v>11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28575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43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18" customWidth="1" style="21" min="1" max="19"/>
    <col width="12" customWidth="1" style="21" min="2" max="2"/>
    <col width="12" customWidth="1" style="21" min="3" max="3"/>
    <col width="10" customWidth="1" style="21" min="4" max="4"/>
    <col width="14" customWidth="1" style="21" min="5" max="5"/>
    <col width="14" customWidth="1" style="21" min="6" max="6"/>
    <col width="16" customWidth="1" style="21" min="7" max="7"/>
  </cols>
  <sheetData>
    <row r="1" ht="36.75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>
      <c r="A2" s="45" t="n"/>
      <c r="B2" s="46">
        <f>E4</f>
        <v/>
      </c>
      <c r="C2" s="45" t="n"/>
      <c r="D2" s="45" t="n"/>
      <c r="E2" s="45" t="n"/>
      <c r="F2" s="45" t="n"/>
      <c r="G2" s="45" t="n"/>
      <c r="H2" s="45" t="n"/>
      <c r="I2" s="45" t="n"/>
      <c r="J2" s="45" t="n"/>
      <c r="K2" s="45" t="n"/>
      <c r="L2" s="45" t="n"/>
      <c r="M2" s="45" t="n"/>
      <c r="N2" s="45" t="n"/>
    </row>
    <row r="3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15.75" customHeight="1" s="21">
      <c r="A4" s="48" t="inlineStr">
        <is>
          <t>Report Type:</t>
        </is>
      </c>
      <c r="B4" s="49" t="inlineStr">
        <is>
          <t>Monthly</t>
        </is>
      </c>
      <c r="C4" s="45" t="n"/>
      <c r="D4" s="50" t="inlineStr">
        <is>
          <t>Select Month:</t>
        </is>
      </c>
      <c r="E4" s="51" t="inlineStr">
        <is>
          <t>Oct-25</t>
        </is>
      </c>
      <c r="F4" s="52" t="n"/>
      <c r="G4" s="50" t="inlineStr">
        <is>
          <t>Select Week:</t>
        </is>
      </c>
      <c r="H4" s="51" t="inlineStr">
        <is>
          <t>Week 1</t>
        </is>
      </c>
      <c r="I4" s="45" t="n"/>
      <c r="J4" s="50" t="inlineStr">
        <is>
          <t>Quarter:</t>
        </is>
      </c>
      <c r="K4" s="53">
        <f>IF(OR(LEFT(E4,3)="Jan",LEFT(E4,3)="Feb",LEFT(E4,3)="Mar"),"Q1",IF(OR(LEFT(E4,3)="Apr",LEFT(E4,3)="May",LEFT(E4,3)="Jun"),"Q2",IF(OR(LEFT(E4,3)="Jul",LEFT(E4,3)="Aug",LEFT(E4,3)="Sep"),"Q3","Q4")))</f>
        <v/>
      </c>
      <c r="L4" s="45" t="n"/>
      <c r="M4" s="45" t="n"/>
      <c r="N4" s="45" t="n"/>
      <c r="P4" s="29" t="inlineStr">
        <is>
          <t>TOP RISK SITE</t>
        </is>
      </c>
    </row>
    <row r="5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45" t="n"/>
      <c r="K5" s="45" t="n"/>
      <c r="L5" s="45" t="n"/>
      <c r="M5" s="45" t="n"/>
      <c r="N5" s="45" t="n"/>
      <c r="P5" s="5" t="n"/>
      <c r="Q5" s="5" t="n"/>
      <c r="R5" s="5" t="n"/>
      <c r="S5" s="5" t="n"/>
    </row>
    <row r="6" ht="46.5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18.75" customHeight="1" s="21">
      <c r="A7" s="54" t="inlineStr">
        <is>
          <t>Period:</t>
        </is>
      </c>
      <c r="B7" s="55">
        <f>IF(B4="Weekly",E4&amp;" - "&amp;H4,IF(B4="Monthly",E4,IF(B4="Quarterly",K4&amp;" "&amp;RIGHT(E4,2),"All Time")))</f>
        <v/>
      </c>
      <c r="C7" s="45" t="n"/>
      <c r="D7" s="54" t="inlineStr">
        <is>
          <t>Total Incidents</t>
        </is>
      </c>
      <c r="E7" s="56">
        <f>IF(B4="Weekly",SUMPRODUCT((MedicalData[Month]=E4)*((WEEKNUM(MedicalData[Date])-WEEKNUM(DATE(YEAR(MedicalData[Date]),MONTH(MedicalData[Date]),1))+1)=VALUE(RIGHT(H4,1)))*1),IF(B4="Monthly",COUNTIF(MedicalData[Month],E4),IF(B4="Quarterly",COUNTIF(MedicalData[Quarter],K4),COUNTA(MedicalData[Date]))))</f>
        <v/>
      </c>
      <c r="F7" s="45" t="n"/>
      <c r="G7" s="54" t="inlineStr">
        <is>
          <t>Ambulance</t>
        </is>
      </c>
      <c r="H7" s="56">
        <f>IF(B4="Weekly",SUMPRODUCT((MedicalData[Month]=E4)*((WEEKNUM(MedicalData[Date])-WEEKNUM(DATE(YEAR(MedicalData[Date]),MONTH(MedicalData[Date]),1))+1)=VALUE(RIGHT(H4,1)))*(MedicalData[Hospital Transportation]="Yes")*1),IF(B4="Monthly",COUNTIFS(MedicalData[Month],E4,MedicalData[Hospital Transportation],"Yes"),IF(B4="Quarterly",COUNTIFS(MedicalData[Quarter],K4,MedicalData[Hospital Transportation],"Yes"),COUNTIF(MedicalData[Hospital Transportation],"Yes"))))</f>
        <v/>
      </c>
      <c r="I7" s="45" t="n"/>
      <c r="J7" s="54" t="inlineStr">
        <is>
          <t>Avg Age</t>
        </is>
      </c>
      <c r="K7" s="56">
        <f>IFERROR(ROUND(IF(B4="Monthly",AVERAGEIF(MedicalData[Month],E4,MedicalData[Age]),IF(B4="Quarterly",AVERAGEIF(MedicalData[Quarter],K4,MedicalData[Age]),AVERAGE(MedicalData[Age]))),0),"-")</f>
        <v/>
      </c>
      <c r="L7" s="45" t="n"/>
      <c r="M7" s="45" t="n"/>
      <c r="N7" s="45" t="n"/>
      <c r="P7" s="5" t="n"/>
      <c r="Q7" s="5" t="n"/>
      <c r="R7" s="10">
        <f>IF(Q6="","",COUNTIF(MedicalData[Site],Q6))</f>
        <v/>
      </c>
      <c r="S7" s="5" t="n"/>
    </row>
    <row r="8">
      <c r="A8" s="45" t="n"/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P8" s="5" t="n"/>
      <c r="Q8" s="5" t="n"/>
      <c r="R8" s="5" t="n"/>
      <c r="S8" s="5" t="n"/>
    </row>
    <row r="9">
      <c r="A9" s="31" t="inlineStr">
        <is>
          <t>TOP INJURY</t>
        </is>
      </c>
      <c r="F9" s="31" t="inlineStr">
        <is>
          <t>TOP MECHANISM</t>
        </is>
      </c>
      <c r="K9" s="31" t="inlineStr">
        <is>
          <t>PEAK TIME</t>
        </is>
      </c>
      <c r="P9" s="31" t="inlineStr">
        <is>
          <t>P3 RATE</t>
        </is>
      </c>
    </row>
    <row r="11">
      <c r="B11" s="32">
        <f>IFERROR(INDEX(MedicalData[Specific injuries treated],MODE(MATCH(MedicalData[Specific injuries treated],MedicalData[Specific injuries treated],0))),"")</f>
        <v/>
      </c>
      <c r="G11" s="32">
        <f>IFERROR(INDEX(MedicalData[History/Mechanism of injury],MODE(MATCH(MedicalData[History/Mechanism of injury],MedicalData[History/Mechanism of injury],0))),"")</f>
        <v/>
      </c>
      <c r="L11" s="32">
        <f>IFERROR(INDEX(MedicalData[Time Period],MODE(MATCH(MedicalData[Time Period],MedicalData[Time Period],0))),"")</f>
        <v/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4">
      <c r="A14" s="33" t="inlineStr">
        <is>
          <t>PRIORITY BREAKDOWN</t>
        </is>
      </c>
    </row>
    <row r="16">
      <c r="A16" t="inlineStr">
        <is>
          <t>P1 (Critical)</t>
        </is>
      </c>
      <c r="B16">
        <f>IF($B$2="All Time",COUNTIF(MedicalData[Priority Of Pt],"P1"),COUNTIFS(MedicalData[Priority Of Pt],"P1",MedicalData[Month],$B$2))</f>
        <v/>
      </c>
      <c r="D16" t="inlineStr">
        <is>
          <t>P2 (Urgent)</t>
        </is>
      </c>
      <c r="E16">
        <f>IF($B$2="All Time",COUNTIF(MedicalData[Priority Of Pt],"P2"),COUNTIFS(MedicalData[Priority Of Pt],"P2",MedicalData[Month],$B$2))</f>
        <v/>
      </c>
      <c r="G16" t="inlineStr">
        <is>
          <t>P3 (Standard)</t>
        </is>
      </c>
      <c r="H16">
        <f>IF($B$2="All Time",COUNTIF(MedicalData[Priority Of Pt],"P3"),COUNTIFS(MedicalData[Priority Of Pt],"P3",MedicalData[Month],$B$2))</f>
        <v/>
      </c>
      <c r="J16" t="inlineStr">
        <is>
          <t>P4 (Minor)</t>
        </is>
      </c>
      <c r="K16">
        <f>IF($B$2="All Time",COUNTIF(MedicalData[Priority Of Pt],"P4"),COUNTIFS(MedicalData[Priority Of Pt],"P4",MedicalData[Month],$B$2))</f>
        <v/>
      </c>
    </row>
    <row r="19">
      <c r="A19" s="33" t="inlineStr">
        <is>
          <t>QUICK INSIGHTS</t>
        </is>
      </c>
    </row>
    <row r="21">
      <c r="A21" t="inlineStr">
        <is>
          <t>Busiest Day:</t>
        </is>
      </c>
      <c r="B21">
        <f>IFERROR(INDEX(MedicalData[Day of Week],MODE(MATCH(MedicalData[Day of Week],MedicalData[Day of Week],0))),"")</f>
        <v/>
      </c>
      <c r="E21" t="inlineStr">
        <is>
          <t>Top Program:</t>
        </is>
      </c>
      <c r="F21">
        <f>IFERROR(INDEX(MedicalData[Type of program],MODE(MATCH(MedicalData[Type of program],MedicalData[Type of program],0))),"")</f>
        <v/>
      </c>
      <c r="J21" t="inlineStr">
        <is>
          <t>Main Cause:</t>
        </is>
      </c>
      <c r="K21">
        <f>IFERROR(INDEX(MedicalData[Cause of injury],MODE(MATCH(MedicalData[Cause of injury],MedicalData[Cause of injury],0))),"")</f>
        <v/>
      </c>
    </row>
    <row r="25">
      <c r="A25" s="40" t="n"/>
    </row>
    <row r="26">
      <c r="A26" s="41" t="n"/>
    </row>
    <row r="28">
      <c r="A28" s="42" t="n"/>
      <c r="B28" s="42" t="n"/>
      <c r="C28" s="42" t="n"/>
      <c r="D28" s="42" t="n"/>
      <c r="E28" s="42" t="n"/>
      <c r="F28" s="42" t="n"/>
    </row>
    <row r="34">
      <c r="A34" s="30" t="n"/>
      <c r="B34" s="30" t="n"/>
      <c r="C34" s="30" t="n"/>
    </row>
    <row r="37">
      <c r="A37" s="40" t="n"/>
    </row>
    <row r="38">
      <c r="B38" s="33" t="n"/>
    </row>
    <row r="40">
      <c r="A40" s="42" t="n"/>
      <c r="B40" s="42" t="n"/>
      <c r="C40" s="42" t="n"/>
      <c r="D40" s="42" t="n"/>
      <c r="E40" s="42" t="n"/>
      <c r="F40" s="42" t="n"/>
    </row>
    <row r="41">
      <c r="F41" s="30" t="n"/>
    </row>
    <row r="42">
      <c r="F42" s="30" t="n"/>
    </row>
    <row r="44">
      <c r="F44" s="30" t="n"/>
    </row>
    <row r="46">
      <c r="A46" s="43" t="n"/>
    </row>
    <row r="61" ht="23.25" customHeight="1" s="21">
      <c r="A61" s="20" t="inlineStr">
        <is>
          <t>🚨 AUTOMATED SAFETY ALERTS</t>
        </is>
      </c>
    </row>
    <row r="63">
      <c r="A63" t="inlineStr">
        <is>
          <t>Alert 1: High-Risk Venue</t>
        </is>
      </c>
    </row>
    <row r="64">
      <c r="B64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</row>
    <row r="66">
      <c r="A66" t="inlineStr">
        <is>
          <t>Alert 2: Ankle Injuries</t>
        </is>
      </c>
    </row>
    <row r="67">
      <c r="B67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</row>
    <row r="69">
      <c r="A69" t="inlineStr">
        <is>
          <t>Alert 3: Player Contact</t>
        </is>
      </c>
    </row>
    <row r="70">
      <c r="B70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</row>
    <row r="72">
      <c r="A72" t="inlineStr">
        <is>
          <t>Alert 4: Minor Involvement</t>
        </is>
      </c>
    </row>
    <row r="73">
      <c r="B73">
        <f>IF(COUNTIFS(MedicalData[Age],"&lt;18")&gt;=4,"ℹ INFO: "&amp;COUNTIFS(MedicalData[Age],"&lt;18")&amp;" incidents involved minors. Ensure age-appropriate safety.","✓ Minor involvement acceptable")</f>
        <v/>
      </c>
    </row>
    <row r="76" ht="21" customHeight="1" s="21">
      <c r="A76" s="22" t="inlineStr">
        <is>
          <t>📋 SAFETY RECOMMENDATIONS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"&amp;E4,IF(B4="Quarterly","QUARTERLY BREAKDOWN: "&amp;K4&amp;" "&amp;RIGHT(E4,2),"ALL TIME REPORT")))</f>
        <v/>
      </c>
    </row>
    <row r="89">
      <c r="A89" s="41" t="n"/>
    </row>
    <row r="90">
      <c r="A90" s="42">
        <f>IF(B4="Weekly","Day",IF(B4="Monthly","Week",IF(B4="Quarterly","Month","Period")))</f>
        <v/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IF(B4="Weekly","Day 1",IF(B4="Monthly","Week 1",IF(B4="Quarterly",TEXT(DATE(YEAR(TODAY()),(1+IF(K4="Q1",0,IF(K4="Q2",3,IF(K4="Q3",6,9)))),1),"MMM-YY"),"1")))</f>
        <v/>
      </c>
      <c r="B91">
        <f>IF(B4="Quarterly",
        IF(1&gt;3,"",COUNTIFS(MedicalData[Quarter],K4,MedicalData[Month],TEXT(DATE(YEAR(TODAY()),(1+IF(K4="Q1",0,IF(K4="Q2",3,IF(K4="Q3",6,9)))),1),"MMM-YY"))),
        IF(B4="Monthly",
            SUMPRODUCT((MedicalData[Month]=E4)*((WEEKNUM(MedicalData[Date])-WEEKNUM(DATE(YEAR(MedicalData[Date]),MONTH(MedicalData[Date]),1))+1)=1)*1),
            IF(B4="Weekly",
                SUMPRODUCT((MedicalData[Month]=E4)*((WEEKNUM(MedicalData[Date])-WEEKNUM(DATE(YEAR(MedicalData[Date]),MONTH(MedicalData[Date]),1))+1)=VALUE(RIGHT(H4,1)))*(WEEKDAY(MedicalData[Date])=2)*1),
                "")))</f>
        <v/>
      </c>
      <c r="C91">
        <f>IF(B4="Quarterly",
        IF(1&gt;3,"",COUNTIFS(MedicalData[Quarter],K4,MedicalData[Month],TEXT(DATE(YEAR(TODAY()),(1+IF(K4="Q1",0,IF(K4="Q2",3,IF(K4="Q3",6,9)))),1),"MMM-YY"),MedicalData[Hospital Transportation],"Yes")),
        IF(B4="Monthly",
            SUMPRODUCT((MedicalData[Month]=E4)*((WEEKNUM(MedicalData[Date])-WEEKNUM(DATE(YEAR(MedicalData[Date]),MONTH(MedicalData[Date]),1))+1)=1)*(MedicalData[Hospital Transportation]="Yes")*1),
            ""))</f>
        <v/>
      </c>
      <c r="D91">
        <f>IF(B91=0,"-",IFERROR(ROUND(AVERAGEIF(MedicalData[Month],E4,MedicalData[Age]),0),"-"))</f>
        <v/>
      </c>
    </row>
    <row r="92">
      <c r="A92">
        <f>IF(B4="Weekly","Day 2",IF(B4="Monthly","Week 2",IF(B4="Quarterly",TEXT(DATE(YEAR(TODAY()),(2+IF(K4="Q1",0,IF(K4="Q2",3,IF(K4="Q3",6,9)))),1),"MMM-YY"),"2")))</f>
        <v/>
      </c>
      <c r="B92">
        <f>IF(B4="Quarterly",
        IF(2&gt;3,"",COUNTIFS(MedicalData[Quarter],K4,MedicalData[Month],TEXT(DATE(YEAR(TODAY()),(2+IF(K4="Q1",0,IF(K4="Q2",3,IF(K4="Q3",6,9)))),1),"MMM-YY"))),
        IF(B4="Monthly",
            SUMPRODUCT((MedicalData[Month]=E4)*((WEEKNUM(MedicalData[Date])-WEEKNUM(DATE(YEAR(MedicalData[Date]),MONTH(MedicalData[Date]),1))+1)=2)*1),
            IF(B4="Weekly",
                SUMPRODUCT((MedicalData[Month]=E4)*((WEEKNUM(MedicalData[Date])-WEEKNUM(DATE(YEAR(MedicalData[Date]),MONTH(MedicalData[Date]),1))+1)=VALUE(RIGHT(H4,1)))*(WEEKDAY(MedicalData[Date])=3)*1),
                "")))</f>
        <v/>
      </c>
      <c r="C92">
        <f>IF(B4="Quarterly",
        IF(2&gt;3,"",COUNTIFS(MedicalData[Quarter],K4,MedicalData[Month],TEXT(DATE(YEAR(TODAY()),(2+IF(K4="Q1",0,IF(K4="Q2",3,IF(K4="Q3",6,9)))),1),"MMM-YY"),MedicalData[Hospital Transportation],"Yes")),
        IF(B4="Monthly",
            SUMPRODUCT((MedicalData[Month]=E4)*((WEEKNUM(MedicalData[Date])-WEEKNUM(DATE(YEAR(MedicalData[Date]),MONTH(MedicalData[Date]),1))+1)=2)*(MedicalData[Hospital Transportation]="Yes")*1),
            ""))</f>
        <v/>
      </c>
      <c r="D92">
        <f>IF(B92=0,"-",IFERROR(ROUND(AVERAGEIF(MedicalData[Month],E4,MedicalData[Age]),0),"-"))</f>
        <v/>
      </c>
    </row>
    <row r="93">
      <c r="A93">
        <f>IF(B4="Weekly","Day 3",IF(B4="Monthly","Week 3",IF(B4="Quarterly",TEXT(DATE(YEAR(TODAY()),(3+IF(K4="Q1",0,IF(K4="Q2",3,IF(K4="Q3",6,9)))),1),"MMM-YY"),"3")))</f>
        <v/>
      </c>
      <c r="B93">
        <f>IF(B4="Quarterly",
        IF(3&gt;3,"",COUNTIFS(MedicalData[Quarter],K4,MedicalData[Month],TEXT(DATE(YEAR(TODAY()),(3+IF(K4="Q1",0,IF(K4="Q2",3,IF(K4="Q3",6,9)))),1),"MMM-YY"))),
        IF(B4="Monthly",
            SUMPRODUCT((MedicalData[Month]=E4)*((WEEKNUM(MedicalData[Date])-WEEKNUM(DATE(YEAR(MedicalData[Date]),MONTH(MedicalData[Date]),1))+1)=3)*1),
            IF(B4="Weekly",
                SUMPRODUCT((MedicalData[Month]=E4)*((WEEKNUM(MedicalData[Date])-WEEKNUM(DATE(YEAR(MedicalData[Date]),MONTH(MedicalData[Date]),1))+1)=VALUE(RIGHT(H4,1)))*(WEEKDAY(MedicalData[Date])=4)*1),
                "")))</f>
        <v/>
      </c>
      <c r="C93">
        <f>IF(B4="Quarterly",
        IF(3&gt;3,"",COUNTIFS(MedicalData[Quarter],K4,MedicalData[Month],TEXT(DATE(YEAR(TODAY()),(3+IF(K4="Q1",0,IF(K4="Q2",3,IF(K4="Q3",6,9)))),1),"MMM-YY"),MedicalData[Hospital Transportation],"Yes")),
        IF(B4="Monthly",
            SUMPRODUCT((MedicalData[Month]=E4)*((WEEKNUM(MedicalData[Date])-WEEKNUM(DATE(YEAR(MedicalData[Date]),MONTH(MedicalData[Date]),1))+1)=3)*(MedicalData[Hospital Transportation]="Yes")*1),
            ""))</f>
        <v/>
      </c>
      <c r="D93">
        <f>IF(B93=0,"-",IFERROR(ROUND(AVERAGEIF(MedicalData[Month],E4,MedicalData[Age]),0),"-"))</f>
        <v/>
      </c>
    </row>
    <row r="94">
      <c r="A94">
        <f>IF(B4="Quarterly","",IF(B4="Weekly","Day 4","Week 4"))</f>
        <v/>
      </c>
      <c r="B94">
        <f>IF(B4="Quarterly",
        IF(4&gt;3,"",COUNTIFS(MedicalData[Quarter],K4,MedicalData[Month],TEXT(DATE(YEAR(TODAY()),(4+IF(K4="Q1",0,IF(K4="Q2",3,IF(K4="Q3",6,9)))),1),"MMM-YY"))),
        IF(B4="Monthly",
            SUMPRODUCT((MedicalData[Month]=E4)*((WEEKNUM(MedicalData[Date])-WEEKNUM(DATE(YEAR(MedicalData[Date]),MONTH(MedicalData[Date]),1))+1)=4)*1),
            IF(B4="Weekly",
                SUMPRODUCT((MedicalData[Month]=E4)*((WEEKNUM(MedicalData[Date])-WEEKNUM(DATE(YEAR(MedicalData[Date]),MONTH(MedicalData[Date]),1))+1)=VALUE(RIGHT(H4,1)))*(WEEKDAY(MedicalData[Date])=5)*1),
                "")))</f>
        <v/>
      </c>
      <c r="C94">
        <f>IF(B4="Quarterly",
        IF(4&gt;3,"",COUNTIFS(MedicalData[Quarter],K4,MedicalData[Month],TEXT(DATE(YEAR(TODAY()),(4+IF(K4="Q1",0,IF(K4="Q2",3,IF(K4="Q3",6,9)))),1),"MMM-YY"),MedicalData[Hospital Transportation],"Yes")),
        IF(B4="Monthly",
            SUMPRODUCT((MedicalData[Month]=E4)*((WEEKNUM(MedicalData[Date])-WEEKNUM(DATE(YEAR(MedicalData[Date]),MONTH(MedicalData[Date]),1))+1)=4)*(MedicalData[Hospital Transportation]="Yes")*1),
            ""))</f>
        <v/>
      </c>
      <c r="D94">
        <f>IF(B94=0,"-",IFERROR(ROUND(AVERAGEIF(MedicalData[Month],E4,MedicalData[Age]),0),"-"))</f>
        <v/>
      </c>
    </row>
    <row r="95">
      <c r="A95">
        <f>IF(B4="Quarterly","",IF(B4="Weekly","Day 5","Week 5"))</f>
        <v/>
      </c>
      <c r="B95">
        <f>IF(B4="Quarterly",
        IF(5&gt;3,"",COUNTIFS(MedicalData[Quarter],K4,MedicalData[Month],TEXT(DATE(YEAR(TODAY()),(5+IF(K4="Q1",0,IF(K4="Q2",3,IF(K4="Q3",6,9)))),1),"MMM-YY"))),
        IF(B4="Monthly",
            SUMPRODUCT((MedicalData[Month]=E4)*((WEEKNUM(MedicalData[Date])-WEEKNUM(DATE(YEAR(MedicalData[Date]),MONTH(MedicalData[Date]),1))+1)=5)*1),
            IF(B4="Weekly",
                SUMPRODUCT((MedicalData[Month]=E4)*((WEEKNUM(MedicalData[Date])-WEEKNUM(DATE(YEAR(MedicalData[Date]),MONTH(MedicalData[Date]),1))+1)=VALUE(RIGHT(H4,1)))*(WEEKDAY(MedicalData[Date])=6)*1),
                "")))</f>
        <v/>
      </c>
      <c r="C95">
        <f>IF(B4="Quarterly",
        IF(5&gt;3,"",COUNTIFS(MedicalData[Quarter],K4,MedicalData[Month],TEXT(DATE(YEAR(TODAY()),(5+IF(K4="Q1",0,IF(K4="Q2",3,IF(K4="Q3",6,9)))),1),"MMM-YY"),MedicalData[Hospital Transportation],"Yes")),
        IF(B4="Monthly",
            SUMPRODUCT((MedicalData[Month]=E4)*((WEEKNUM(MedicalData[Date])-WEEKNUM(DATE(YEAR(MedicalData[Date]),MONTH(MedicalData[Date]),1))+1)=5)*(MedicalData[Hospital Transportation]="Yes")*1),
            ""))</f>
        <v/>
      </c>
      <c r="D95">
        <f>IF(B95=0,"-",IFERROR(ROUND(AVERAGEIF(MedicalData[Month],E4,MedicalData[Age]),0),"-"))</f>
        <v/>
      </c>
    </row>
    <row r="96">
      <c r="A96" s="30" t="inlineStr">
        <is>
          <t>TOTAL</t>
        </is>
      </c>
      <c r="B96" s="30">
        <f>SUM(B91:B95)</f>
        <v/>
      </c>
      <c r="C96" s="30">
        <f>SUM(C91:C95)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</t>
        </is>
      </c>
      <c r="B103" s="42">
        <f>COUNTIF(MedicalData[Quarter],A103)</f>
        <v/>
      </c>
      <c r="C103" s="42">
        <f>COUNTIFS(MedicalData[Quarter],A103,MedicalData[Hospital Transportation],"Yes")</f>
        <v/>
      </c>
      <c r="D103" s="42">
        <f>IFERROR(ROUND(AVERAGEIF(MedicalData[Quarter],A103,MedicalData[Age]),0),"-")</f>
        <v/>
      </c>
      <c r="E103" s="42" t="n"/>
      <c r="F103" s="42" t="n"/>
    </row>
    <row r="104">
      <c r="A104" t="inlineStr">
        <is>
          <t>Q2</t>
        </is>
      </c>
      <c r="B104">
        <f>COUNTIF(MedicalData[Quarter],A104)</f>
        <v/>
      </c>
      <c r="C104">
        <f>COUNTIFS(MedicalData[Quarter],A104,MedicalData[Hospital Transportation],"Yes")</f>
        <v/>
      </c>
      <c r="D104">
        <f>IFERROR(ROUND(AVERAGEIF(MedicalData[Quarter],A104,MedicalData[Age]),0),"-")</f>
        <v/>
      </c>
      <c r="E104">
        <f>IF(B103=0,"-",TEXT((B104-B103)/B103,"+0%;-0%"))</f>
        <v/>
      </c>
      <c r="F104" s="30" t="n"/>
    </row>
    <row r="105">
      <c r="A105" t="inlineStr">
        <is>
          <t>Q3</t>
        </is>
      </c>
      <c r="B105">
        <f>COUNTIF(MedicalData[Quarter],A105)</f>
        <v/>
      </c>
      <c r="C105">
        <f>COUNTIFS(MedicalData[Quarter],A105,MedicalData[Hospital Transportation],"Yes")</f>
        <v/>
      </c>
      <c r="D105">
        <f>IFERROR(ROUND(AVERAGEIF(MedicalData[Quarter],A105,MedicalData[Age]),0),"-")</f>
        <v/>
      </c>
      <c r="E105">
        <f>IF(B104=0,"-",TEXT((B105-B104)/B104,"+0%;-0%"))</f>
        <v/>
      </c>
      <c r="F105" s="30" t="n"/>
    </row>
    <row r="106">
      <c r="A106" t="inlineStr">
        <is>
          <t>Q4</t>
        </is>
      </c>
      <c r="B106">
        <f>COUNTIF(MedicalData[Quarter],A106)</f>
        <v/>
      </c>
      <c r="C106">
        <f>COUNTIFS(MedicalData[Quarter],A106,MedicalData[Hospital Transportation],"Yes")</f>
        <v/>
      </c>
      <c r="D106">
        <f>IFERROR(ROUND(AVERAGEIF(MedicalData[Quarter],A106,MedicalData[Age]),0),"-")</f>
        <v/>
      </c>
      <c r="E106">
        <f>IF(B105=0,"-",TEXT((B106-B105)/B105,"+0%;-0%"))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IFERROR(ROUND(AVERAGE(MedicalData[Age]),0),"-")</f>
        <v/>
      </c>
      <c r="F107" s="30" t="n"/>
    </row>
    <row r="109">
      <c r="A109" s="43" t="n"/>
    </row>
  </sheetData>
  <mergeCells count="2">
    <mergeCell ref="A76:N76"/>
    <mergeCell ref="A61:N61"/>
  </mergeCells>
  <dataValidations count="4">
    <dataValidation sqref="B2" showDropDown="0" showInputMessage="0" showErrorMessage="0" allowBlank="1" errorTitle="Invalid Month" error="Please select a valid month" promptTitle="Month Selection" prompt="Select a month or 'All Time'" type="list">
      <formula1>=Lists!$E$1:$E$26</formula1>
    </dataValidation>
    <dataValidation sqref="B4" showDropDown="0" showInputMessage="0" showErrorMessage="0" allowBlank="0" prompt="Select report type" type="list">
      <formula1>=Lists!$G$2:$G$4</formula1>
    </dataValidation>
    <dataValidation sqref="E4" showDropDown="0" showInputMessage="0" showErrorMessage="0" allowBlank="0" prompt="Select month" type="list">
      <formula1>=Lists!$E$2:$E$26</formula1>
    </dataValidation>
    <dataValidation sqref="H4" showDropDown="0" showInputMessage="0" showErrorMessage="0" allowBlank="0" prompt="Select week" type="list">
      <formula1>=Lists!$H$2:$H$6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IF(Dashboard!B4="Monthly",COUNTIFS(MedicalData[Site],A4,MedicalData[Month],Dashboard!E4),IF(Dashboard!B4="Quarterly",COUNTIFS(MedicalData[Site],A4,MedicalData[Quarter],Dashboard!K4),COUNTIF(MedicalData[Site],A4)))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IF(Dashboard!B4="Monthly",COUNTIFS(MedicalData[Site],A5,MedicalData[Month],Dashboard!E4),IF(Dashboard!B4="Quarterly",COUNTIFS(MedicalData[Site],A5,MedicalData[Quarter],Dashboard!K4),COUNTIF(MedicalData[Site],A5)))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IF(Dashboard!B4="Monthly",COUNTIFS(MedicalData[Site],A6,MedicalData[Month],Dashboard!E4),IF(Dashboard!B4="Quarterly",COUNTIFS(MedicalData[Site],A6,MedicalData[Quarter],Dashboard!K4),COUNTIF(MedicalData[Site],A6)))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IF(Dashboard!B4="Monthly",COUNTIFS(MedicalData[Site],A7,MedicalData[Month],Dashboard!E4),IF(Dashboard!B4="Quarterly",COUNTIFS(MedicalData[Site],A7,MedicalData[Quarter],Dashboard!K4),COUNTIF(MedicalData[Site],A7)))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IF(Dashboard!B4="Monthly",COUNTIFS(MedicalData[Site],A8,MedicalData[Month],Dashboard!E4),IF(Dashboard!B4="Quarterly",COUNTIFS(MedicalData[Site],A8,MedicalData[Quarter],Dashboard!K4),COUNTIF(MedicalData[Site],A8)))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IF(Dashboard!B4="Monthly",COUNTIFS(MedicalData[Site],A9,MedicalData[Month],Dashboard!E4),IF(Dashboard!B4="Quarterly",COUNTIFS(MedicalData[Site],A9,MedicalData[Quarter],Dashboard!K4),COUNTIF(MedicalData[Site],A9)))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IF(Dashboard!B4="Monthly",COUNTIFS(MedicalData[Site],A10,MedicalData[Month],Dashboard!E4),IF(Dashboard!B4="Quarterly",COUNTIFS(MedicalData[Site],A10,MedicalData[Quarter],Dashboard!K4),COUNTIF(MedicalData[Site],A10)))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IF(Dashboard!B4="Monthly",COUNTIFS(MedicalData[Site],A11,MedicalData[Month],Dashboard!E4),IF(Dashboard!B4="Quarterly",COUNTIFS(MedicalData[Site],A11,MedicalData[Quarter],Dashboard!K4),COUNTIF(MedicalData[Site],A11)))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IF(Dashboard!B4="Monthly",COUNTIFS(MedicalData[Site],A12,MedicalData[Month],Dashboard!E4),IF(Dashboard!B4="Quarterly",COUNTIFS(MedicalData[Site],A12,MedicalData[Quarter],Dashboard!K4),COUNTIF(MedicalData[Site],A12)))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IF(Dashboard!B4="Monthly",COUNTIFS(MedicalData[Site],A13,MedicalData[Month],Dashboard!E4),IF(Dashboard!B4="Quarterly",COUNTIFS(MedicalData[Site],A13,MedicalData[Quarter],Dashboard!K4),COUNTIF(MedicalData[Site],A13)))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IF(Dashboard!B4="Monthly",COUNTIFS(MedicalData[Site],A14,MedicalData[Month],Dashboard!E4),IF(Dashboard!B4="Quarterly",COUNTIFS(MedicalData[Site],A14,MedicalData[Quarter],Dashboard!K4),COUNTIF(MedicalData[Site],A14)))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IF(Dashboard!B4="Monthly",COUNTIFS(MedicalData[Site],A15,MedicalData[Month],Dashboard!E4),IF(Dashboard!B4="Quarterly",COUNTIFS(MedicalData[Site],A15,MedicalData[Quarter],Dashboard!K4),COUNTIF(MedicalData[Site],A15)))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IF(Dashboard!B4="Monthly",COUNTIFS(MedicalData[Site],A16,MedicalData[Month],Dashboard!E4),IF(Dashboard!B4="Quarterly",COUNTIFS(MedicalData[Site],A16,MedicalData[Quarter],Dashboard!K4),COUNTIF(MedicalData[Site],A16)))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IF(Dashboard!B4="Monthly",COUNTIFS(MedicalData[Site],A17,MedicalData[Month],Dashboard!E4),IF(Dashboard!B4="Quarterly",COUNTIFS(MedicalData[Site],A17,MedicalData[Quarter],Dashboard!K4),COUNTIF(MedicalData[Site],A17)))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IF(Dashboard!B4="Monthly",COUNTIFS(MedicalData[Site],A18,MedicalData[Month],Dashboard!E4),IF(Dashboard!B4="Quarterly",COUNTIFS(MedicalData[Site],A18,MedicalData[Quarter],Dashboard!K4),COUNTIF(MedicalData[Site],A18)))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IF(Dashboard!B4="Monthly",COUNTIFS(MedicalData[Site],A19,MedicalData[Month],Dashboard!E4),IF(Dashboard!B4="Quarterly",COUNTIFS(MedicalData[Site],A19,MedicalData[Quarter],Dashboard!K4),COUNTIF(MedicalData[Site],A19)))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Monthly",COUNTIFS(MedicalData[Age],"&gt;=0",MedicalData[Age],"&lt;=12",MedicalData[Month],Dashboard!E4),IF(Dashboard!B4="Quarterly",COUNTIFS(MedicalData[Age],"&gt;=0",MedicalData[Age],"&lt;=12",MedicalData[Quarter],Dashboard!K4),COUNTIFS(MedicalData[Age],"&gt;=0",MedicalData[Age]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Monthly",COUNTIFS(MedicalData[Age],"&gt;=13",MedicalData[Age],"&lt;=17",MedicalData[Month],Dashboard!E4),IF(Dashboard!B4="Quarterly",COUNTIFS(MedicalData[Age],"&gt;=13",MedicalData[Age],"&lt;=17",MedicalData[Quarter],Dashboard!K4),COUNTIFS(MedicalData[Age],"&gt;=13",MedicalData[Age]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Monthly",COUNTIFS(MedicalData[Age],"&gt;=18",MedicalData[Age],"&lt;=25",MedicalData[Month],Dashboard!E4),IF(Dashboard!B4="Quarterly",COUNTIFS(MedicalData[Age],"&gt;=18",MedicalData[Age],"&lt;=25",MedicalData[Quarter],Dashboard!K4),COUNTIFS(MedicalData[Age],"&gt;=18",MedicalData[Age]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Monthly",COUNTIFS(MedicalData[Age],"&gt;=26",MedicalData[Age],"&lt;=35",MedicalData[Month],Dashboard!E4),IF(Dashboard!B4="Quarterly",COUNTIFS(MedicalData[Age],"&gt;=26",MedicalData[Age],"&lt;=35",MedicalData[Quarter],Dashboard!K4),COUNTIFS(MedicalData[Age],"&gt;=26",MedicalData[Age]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IF(Dashboard!B4="Monthly",COUNTIFS(MedicalData[Age],"&gt;=36",MedicalData[Month],Dashboard!E4),IF(Dashboard!B4="Quarterly",COUNTIFS(MedicalData[Age],"&gt;=36",MedicalData[Quarter],Dashboard!K4),COUNTIFS(MedicalData[Age],"&gt;=36")))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IF(Dashboard!B4="Monthly",COUNTIFS(MedicalData[History/Mechanism of injury],A4,MedicalData[Month],Dashboard!E4),IF(Dashboard!B4="Quarterly",COUNTIFS(MedicalData[History/Mechanism of injury],A4,MedicalData[Quarter],Dashboard!K4),COUNTIF(MedicalData[History/Mechanism of injury],A4)))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IF(Dashboard!B4="Monthly",COUNTIFS(MedicalData[History/Mechanism of injury],A5,MedicalData[Month],Dashboard!E4),IF(Dashboard!B4="Quarterly",COUNTIFS(MedicalData[History/Mechanism of injury],A5,MedicalData[Quarter],Dashboard!K4),COUNTIF(MedicalData[History/Mechanism of injury],A5)))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IF(Dashboard!B4="Monthly",COUNTIFS(MedicalData[History/Mechanism of injury],A6,MedicalData[Month],Dashboard!E4),IF(Dashboard!B4="Quarterly",COUNTIFS(MedicalData[History/Mechanism of injury],A6,MedicalData[Quarter],Dashboard!K4),COUNTIF(MedicalData[History/Mechanism of injury],A6)))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IF(Dashboard!B4="Monthly",COUNTIFS(MedicalData[History/Mechanism of injury],A7,MedicalData[Month],Dashboard!E4),IF(Dashboard!B4="Quarterly",COUNTIFS(MedicalData[History/Mechanism of injury],A7,MedicalData[Quarter],Dashboard!K4),COUNTIF(MedicalData[History/Mechanism of injury],A7)))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IF(Dashboard!B4="Monthly",COUNTIFS(MedicalData[History/Mechanism of injury],A8,MedicalData[Month],Dashboard!E4),IF(Dashboard!B4="Quarterly",COUNTIFS(MedicalData[History/Mechanism of injury],A8,MedicalData[Quarter],Dashboard!K4),COUNTIF(MedicalData[History/Mechanism of injury],A8)))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IF(Dashboard!B4="Monthly",COUNTIFS(MedicalData[History/Mechanism of injury],A9,MedicalData[Month],Dashboard!E4),IF(Dashboard!B4="Quarterly",COUNTIFS(MedicalData[History/Mechanism of injury],A9,MedicalData[Quarter],Dashboard!K4),COUNTIF(MedicalData[History/Mechanism of injury],A9)))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IF(Dashboard!B4="Monthly",COUNTIFS(MedicalData[History/Mechanism of injury],A10,MedicalData[Month],Dashboard!E4),IF(Dashboard!B4="Quarterly",COUNTIFS(MedicalData[History/Mechanism of injury],A10,MedicalData[Quarter],Dashboard!K4),COUNTIF(MedicalData[History/Mechanism of injury],A10)))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IF(Dashboard!B4="Monthly",COUNTIFS(MedicalData[History/Mechanism of injury],A11,MedicalData[Month],Dashboard!E4),IF(Dashboard!B4="Quarterly",COUNTIFS(MedicalData[History/Mechanism of injury],A11,MedicalData[Quarter],Dashboard!K4),COUNTIF(MedicalData[History/Mechanism of injury],A11)))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IF(Dashboard!B4="Monthly",COUNTIFS(MedicalData[History/Mechanism of injury],A12,MedicalData[Month],Dashboard!E4),IF(Dashboard!B4="Quarterly",COUNTIFS(MedicalData[History/Mechanism of injury],A12,MedicalData[Quarter],Dashboard!K4),COUNTIF(MedicalData[History/Mechanism of injury],A12)))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IF(Dashboard!B4="Monthly",COUNTIFS(MedicalData[History/Mechanism of injury],A13,MedicalData[Month],Dashboard!E4),IF(Dashboard!B4="Quarterly",COUNTIFS(MedicalData[History/Mechanism of injury],A13,MedicalData[Quarter],Dashboard!K4),COUNTIF(MedicalData[History/Mechanism of injury],A13)))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IF(Dashboard!B4="Monthly",COUNTIFS(MedicalData[History/Mechanism of injury],A14,MedicalData[Month],Dashboard!E4),IF(Dashboard!B4="Quarterly",COUNTIFS(MedicalData[History/Mechanism of injury],A14,MedicalData[Quarter],Dashboard!K4),COUNTIF(MedicalData[History/Mechanism of injury],A14)))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IF(Dashboard!B4="Monthly",COUNTIFS(MedicalData[History/Mechanism of injury],A15,MedicalData[Month],Dashboard!E4),IF(Dashboard!B4="Quarterly",COUNTIFS(MedicalData[History/Mechanism of injury],A15,MedicalData[Quarter],Dashboard!K4),COUNTIF(MedicalData[History/Mechanism of injury],A15)))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IF(Dashboard!B4="Monthly",COUNTIFS(MedicalData[History/Mechanism of injury],A16,MedicalData[Month],Dashboard!E4),IF(Dashboard!B4="Quarterly",COUNTIFS(MedicalData[History/Mechanism of injury],A16,MedicalData[Quarter],Dashboard!K4),COUNTIF(MedicalData[History/Mechanism of injury],A16)))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IF(Dashboard!B4="Monthly",COUNTIFS(MedicalData[History/Mechanism of injury],A17,MedicalData[Month],Dashboard!E4),IF(Dashboard!B4="Quarterly",COUNTIFS(MedicalData[History/Mechanism of injury],A17,MedicalData[Quarter],Dashboard!K4),COUNTIF(MedicalData[History/Mechanism of injury],A17)))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IF(Dashboard!B4="Monthly",COUNTIFS(MedicalData[History/Mechanism of injury],A18,MedicalData[Month],Dashboard!E4),IF(Dashboard!B4="Quarterly",COUNTIFS(MedicalData[History/Mechanism of injury],A18,MedicalData[Quarter],Dashboard!K4),COUNTIF(MedicalData[History/Mechanism of injury],A18)))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IF(Dashboard!B4="Monthly",COUNTIFS(MedicalData[History/Mechanism of injury],A19,MedicalData[Month],Dashboard!E4),IF(Dashboard!B4="Quarterly",COUNTIFS(MedicalData[History/Mechanism of injury],A19,MedicalData[Quarter],Dashboard!K4),COUNTIF(MedicalData[History/Mechanism of injury],A19)))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IF(Dashboard!B4="Monthly",COUNTIFS(MedicalData[History/Mechanism of injury],A20,MedicalData[Month],Dashboard!E4),IF(Dashboard!B4="Quarterly",COUNTIFS(MedicalData[History/Mechanism of injury],A20,MedicalData[Quarter],Dashboard!K4),COUNTIF(MedicalData[History/Mechanism of injury],A20)))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IF(Dashboard!B4="Monthly",COUNTIFS(MedicalData[History/Mechanism of injury],A21,MedicalData[Month],Dashboard!E4),IF(Dashboard!B4="Quarterly",COUNTIFS(MedicalData[History/Mechanism of injury],A21,MedicalData[Quarter],Dashboard!K4),COUNTIF(MedicalData[History/Mechanism of injury],A21)))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IF(Dashboard!B4="Monthly",COUNTIFS(MedicalData[History/Mechanism of injury],A22,MedicalData[Month],Dashboard!E4),IF(Dashboard!B4="Quarterly",COUNTIFS(MedicalData[History/Mechanism of injury],A22,MedicalData[Quarter],Dashboard!K4),COUNTIF(MedicalData[History/Mechanism of injury],A22)))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IF(Dashboard!B4="Monthly",COUNTIFS(MedicalData[History/Mechanism of injury],A23,MedicalData[Month],Dashboard!E4),IF(Dashboard!B4="Quarterly",COUNTIFS(MedicalData[History/Mechanism of injury],A23,MedicalData[Quarter],Dashboard!K4),COUNTIF(MedicalData[History/Mechanism of injury],A23)))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IF(Dashboard!B4="Monthly",COUNTIFS(MedicalData[History/Mechanism of injury],A24,MedicalData[Month],Dashboard!E4),IF(Dashboard!B4="Quarterly",COUNTIFS(MedicalData[History/Mechanism of injury],A24,MedicalData[Quarter],Dashboard!K4),COUNTIF(MedicalData[History/Mechanism of injury],A24)))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IF(Dashboard!B4="Monthly",COUNTIFS(MedicalData[Time Period],A4,MedicalData[Month],Dashboard!E4),IF(Dashboard!B4="Quarterly",COUNTIFS(MedicalData[Time Period],A4,MedicalData[Quarter],Dashboard!K4),COUNTIF(MedicalData[Time Period],A4)))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IF(Dashboard!B4="Monthly",COUNTIFS(MedicalData[Time Period],A5,MedicalData[Month],Dashboard!E4),IF(Dashboard!B4="Quarterly",COUNTIFS(MedicalData[Time Period],A5,MedicalData[Quarter],Dashboard!K4),COUNTIF(MedicalData[Time Period],A5)))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IF(Dashboard!B4="Monthly",COUNTIFS(MedicalData[Time Period],A6,MedicalData[Month],Dashboard!E4),IF(Dashboard!B4="Quarterly",COUNTIFS(MedicalData[Time Period],A6,MedicalData[Quarter],Dashboard!K4),COUNTIF(MedicalData[Time Period],A6)))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IF(Dashboard!B4="Monthly",COUNTIFS(MedicalData[Time Period],A7,MedicalData[Month],Dashboard!E4),IF(Dashboard!B4="Quarterly",COUNTIFS(MedicalData[Time Period],A7,MedicalData[Quarter],Dashboard!K4),COUNTIF(MedicalData[Time Period],A7)))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</row>
    <row r="6">
      <c r="A6" t="inlineStr">
        <is>
          <t>Kicking Boxing</t>
        </is>
      </c>
      <c r="E6" t="inlineStr">
        <is>
          <t>May-24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2025-12-04T10:32:15Z</dcterms:modified>
  <cp:lastModifiedBy>stephen tapala</cp:lastModifiedBy>
</cp:coreProperties>
</file>