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Val val="1"/>
          <showCatName val="0"/>
          <showPercent val="1"/>
        </dLbls>
      </pie3D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Program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Incidents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Incidents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59</row>
      <rowOff>0</rowOff>
    </from>
    <ext cx="54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40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76</row>
      <rowOff>0</rowOff>
    </from>
    <ext cx="54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76</row>
      <rowOff>0</rowOff>
    </from>
    <ext cx="540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58">
      <c r="A58" s="64" t="inlineStr">
        <is>
          <t>ADDITIONAL ANALYSIS</t>
        </is>
      </c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3">
    <mergeCell ref="A76:N76"/>
    <mergeCell ref="A61:N61"/>
    <mergeCell ref="A58:D58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IF(Dashboard!B4="Weekly",SUMPRODUCT((MONTH('Data Entry'!A2:A356)=Dashboard!N4)*(YEAR('Data Entry'!A2:A356)=Dashboard!O4)*(INT((DAY('Data Entry'!A2:A356)-1)/7)+1=Dashboard!M4)*('Data Entry'!I2:I356=G32)*1),IF(Dashboard!B4="Monthly",SUMPRODUCT((MONTH('Data Entry'!A2:A356)=Dashboard!N4)*(YEAR('Data Entry'!A2:A356)=Dashboard!O4)*('Data Entry'!I2:I356=G32)*1),IF(Dashboard!B4="Quarterly",SUMPRODUCT(('Data Entry'!P2:P356=Dashboard!K4)*('Data Entry'!I2:I356=G32)*1),COUNTIF('Data Entry'!I2:I356,G32))))</f>
        <v/>
      </c>
      <c r="J32" s="63" t="inlineStr">
        <is>
          <t>Open Play</t>
        </is>
      </c>
      <c r="K32" s="63">
        <f>IF(Dashboard!B4="Weekly",SUMPRODUCT((MONTH('Data Entry'!A2:A356)=Dashboard!N4)*(YEAR('Data Entry'!A2:A356)=Dashboard!O4)*(INT((DAY('Data Entry'!A2:A356)-1)/7)+1=Dashboard!M4)*(TRIM('Data Entry'!G2:G356)=J32)*1),IF(Dashboard!B4="Monthly",SUMPRODUCT((MONTH('Data Entry'!A2:A356)=Dashboard!N4)*(YEAR('Data Entry'!A2:A356)=Dashboard!O4)*(TRIM('Data Entry'!G2:G356)=J32)*1),IF(Dashboard!B4="Quarterly",SUMPRODUCT(('Data Entry'!P2:P356=Dashboard!K4)*(TRIM('Data Entry'!G2:G356)=J32)*1),SUMPRODUCT((TRIM('Data Entry'!G2:G356)=J32)*1))))</f>
        <v/>
      </c>
      <c r="M32" s="63" t="inlineStr">
        <is>
          <t>Monday</t>
        </is>
      </c>
      <c r="N32" s="63">
        <f>IF(Dashboard!B4="Weekly",SUMPRODUCT((MONTH('Data Entry'!A2:A356)=Dashboard!N4)*(YEAR('Data Entry'!A2:A356)=Dashboard!O4)*(INT((DAY('Data Entry'!A2:A356)-1)/7)+1=Dashboard!M4)*(WEEKDAY('Data Entry'!A2:A356)=2)*1),IF(Dashboard!B4="Monthly",SUMPRODUCT((MONTH('Data Entry'!A2:A356)=Dashboard!N4)*(YEAR('Data Entry'!A2:A356)=Dashboard!O4)*(WEEKDAY('Data Entry'!A2:A356)=2)*1),IF(Dashboard!B4="Quarterly",SUMPRODUCT(('Data Entry'!P2:P356=Dashboard!K4)*(WEEKDAY('Data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IF(Dashboard!B4="Weekly",SUMPRODUCT((MONTH('Data Entry'!A2:A356)=Dashboard!N4)*(YEAR('Data Entry'!A2:A356)=Dashboard!O4)*(INT((DAY('Data Entry'!A2:A356)-1)/7)+1=Dashboard!M4)*('Data Entry'!I2:I356=G33)*1),IF(Dashboard!B4="Monthly",SUMPRODUCT((MONTH('Data Entry'!A2:A356)=Dashboard!N4)*(YEAR('Data Entry'!A2:A356)=Dashboard!O4)*('Data Entry'!I2:I356=G33)*1),IF(Dashboard!B4="Quarterly",SUMPRODUCT(('Data Entry'!P2:P356=Dashboard!K4)*('Data Entry'!I2:I356=G33)*1),COUNTIF('Data Entry'!I2:I356,G33))))</f>
        <v/>
      </c>
      <c r="J33" s="63" t="inlineStr">
        <is>
          <t>Training</t>
        </is>
      </c>
      <c r="K33" s="63">
        <f>IF(Dashboard!B4="Weekly",SUMPRODUCT((MONTH('Data Entry'!A2:A356)=Dashboard!N4)*(YEAR('Data Entry'!A2:A356)=Dashboard!O4)*(INT((DAY('Data Entry'!A2:A356)-1)/7)+1=Dashboard!M4)*(TRIM('Data Entry'!G2:G356)=J33)*1),IF(Dashboard!B4="Monthly",SUMPRODUCT((MONTH('Data Entry'!A2:A356)=Dashboard!N4)*(YEAR('Data Entry'!A2:A356)=Dashboard!O4)*(TRIM('Data Entry'!G2:G356)=J33)*1),IF(Dashboard!B4="Quarterly",SUMPRODUCT(('Data Entry'!P2:P356=Dashboard!K4)*(TRIM('Data Entry'!G2:G356)=J33)*1),SUMPRODUCT((TRIM('Data Entry'!G2:G356)=J33)*1))))</f>
        <v/>
      </c>
      <c r="M33" s="63" t="inlineStr">
        <is>
          <t>Tuesday</t>
        </is>
      </c>
      <c r="N33" s="63">
        <f>IF(Dashboard!B4="Weekly",SUMPRODUCT((MONTH('Data Entry'!A2:A356)=Dashboard!N4)*(YEAR('Data Entry'!A2:A356)=Dashboard!O4)*(INT((DAY('Data Entry'!A2:A356)-1)/7)+1=Dashboard!M4)*(WEEKDAY('Data Entry'!A2:A356)=3)*1),IF(Dashboard!B4="Monthly",SUMPRODUCT((MONTH('Data Entry'!A2:A356)=Dashboard!N4)*(YEAR('Data Entry'!A2:A356)=Dashboard!O4)*(WEEKDAY('Data Entry'!A2:A356)=3)*1),IF(Dashboard!B4="Quarterly",SUMPRODUCT(('Data Entry'!P2:P356=Dashboard!K4)*(WEEKDAY('Data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IF(Dashboard!B4="Weekly",SUMPRODUCT((MONTH('Data Entry'!A2:A356)=Dashboard!N4)*(YEAR('Data Entry'!A2:A356)=Dashboard!O4)*(INT((DAY('Data Entry'!A2:A356)-1)/7)+1=Dashboard!M4)*('Data Entry'!I2:I356=G34)*1),IF(Dashboard!B4="Monthly",SUMPRODUCT((MONTH('Data Entry'!A2:A356)=Dashboard!N4)*(YEAR('Data Entry'!A2:A356)=Dashboard!O4)*('Data Entry'!I2:I356=G34)*1),IF(Dashboard!B4="Quarterly",SUMPRODUCT(('Data Entry'!P2:P356=Dashboard!K4)*('Data Entry'!I2:I356=G34)*1),COUNTIF('Data Entry'!I2:I356,G34))))</f>
        <v/>
      </c>
      <c r="J34" s="63" t="inlineStr">
        <is>
          <t>Afternoon Program</t>
        </is>
      </c>
      <c r="K34" s="63">
        <f>IF(Dashboard!B4="Weekly",SUMPRODUCT((MONTH('Data Entry'!A2:A356)=Dashboard!N4)*(YEAR('Data Entry'!A2:A356)=Dashboard!O4)*(INT((DAY('Data Entry'!A2:A356)-1)/7)+1=Dashboard!M4)*(TRIM('Data Entry'!G2:G356)=J34)*1),IF(Dashboard!B4="Monthly",SUMPRODUCT((MONTH('Data Entry'!A2:A356)=Dashboard!N4)*(YEAR('Data Entry'!A2:A356)=Dashboard!O4)*(TRIM('Data Entry'!G2:G356)=J34)*1),IF(Dashboard!B4="Quarterly",SUMPRODUCT(('Data Entry'!P2:P356=Dashboard!K4)*(TRIM('Data Entry'!G2:G356)=J34)*1),SUMPRODUCT((TRIM('Data Entry'!G2:G356)=J34)*1))))</f>
        <v/>
      </c>
      <c r="M34" s="63" t="inlineStr">
        <is>
          <t>Wednesday</t>
        </is>
      </c>
      <c r="N34" s="63">
        <f>IF(Dashboard!B4="Weekly",SUMPRODUCT((MONTH('Data Entry'!A2:A356)=Dashboard!N4)*(YEAR('Data Entry'!A2:A356)=Dashboard!O4)*(INT((DAY('Data Entry'!A2:A356)-1)/7)+1=Dashboard!M4)*(WEEKDAY('Data Entry'!A2:A356)=4)*1),IF(Dashboard!B4="Monthly",SUMPRODUCT((MONTH('Data Entry'!A2:A356)=Dashboard!N4)*(YEAR('Data Entry'!A2:A356)=Dashboard!O4)*(WEEKDAY('Data Entry'!A2:A356)=4)*1),IF(Dashboard!B4="Quarterly",SUMPRODUCT(('Data Entry'!P2:P356=Dashboard!K4)*(WEEKDAY('Data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IF(Dashboard!B4="Weekly",SUMPRODUCT((MONTH('Data Entry'!A2:A356)=Dashboard!N4)*(YEAR('Data Entry'!A2:A356)=Dashboard!O4)*(INT((DAY('Data Entry'!A2:A356)-1)/7)+1=Dashboard!M4)*('Data Entry'!I2:I356=G35)*1),IF(Dashboard!B4="Monthly",SUMPRODUCT((MONTH('Data Entry'!A2:A356)=Dashboard!N4)*(YEAR('Data Entry'!A2:A356)=Dashboard!O4)*('Data Entry'!I2:I356=G35)*1),IF(Dashboard!B4="Quarterly",SUMPRODUCT(('Data Entry'!P2:P356=Dashboard!K4)*('Data Entry'!I2:I356=G35)*1),COUNTIF('Data Entry'!I2:I356,G35))))</f>
        <v/>
      </c>
      <c r="J35" s="63" t="inlineStr">
        <is>
          <t>Girl Skate</t>
        </is>
      </c>
      <c r="K35" s="63">
        <f>IF(Dashboard!B4="Weekly",SUMPRODUCT((MONTH('Data Entry'!A2:A356)=Dashboard!N4)*(YEAR('Data Entry'!A2:A356)=Dashboard!O4)*(INT((DAY('Data Entry'!A2:A356)-1)/7)+1=Dashboard!M4)*(TRIM('Data Entry'!G2:G356)=J35)*1),IF(Dashboard!B4="Monthly",SUMPRODUCT((MONTH('Data Entry'!A2:A356)=Dashboard!N4)*(YEAR('Data Entry'!A2:A356)=Dashboard!O4)*(TRIM('Data Entry'!G2:G356)=J35)*1),IF(Dashboard!B4="Quarterly",SUMPRODUCT(('Data Entry'!P2:P356=Dashboard!K4)*(TRIM('Data Entry'!G2:G356)=J35)*1),SUMPRODUCT((TRIM('Data Entry'!G2:G356)=J35)*1))))</f>
        <v/>
      </c>
      <c r="M35" s="63" t="inlineStr">
        <is>
          <t>Thursday</t>
        </is>
      </c>
      <c r="N35" s="63">
        <f>IF(Dashboard!B4="Weekly",SUMPRODUCT((MONTH('Data Entry'!A2:A356)=Dashboard!N4)*(YEAR('Data Entry'!A2:A356)=Dashboard!O4)*(INT((DAY('Data Entry'!A2:A356)-1)/7)+1=Dashboard!M4)*(WEEKDAY('Data Entry'!A2:A356)=5)*1),IF(Dashboard!B4="Monthly",SUMPRODUCT((MONTH('Data Entry'!A2:A356)=Dashboard!N4)*(YEAR('Data Entry'!A2:A356)=Dashboard!O4)*(WEEKDAY('Data Entry'!A2:A356)=5)*1),IF(Dashboard!B4="Quarterly",SUMPRODUCT(('Data Entry'!P2:P356=Dashboard!K4)*(WEEKDAY('Data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IF(Dashboard!B4="Weekly",SUMPRODUCT((MONTH('Data Entry'!A2:A356)=Dashboard!N4)*(YEAR('Data Entry'!A2:A356)=Dashboard!O4)*(INT((DAY('Data Entry'!A2:A356)-1)/7)+1=Dashboard!M4)*(TRIM('Data Entry'!G2:G356)=J36)*1),IF(Dashboard!B4="Monthly",SUMPRODUCT((MONTH('Data Entry'!A2:A356)=Dashboard!N4)*(YEAR('Data Entry'!A2:A356)=Dashboard!O4)*(TRIM('Data Entry'!G2:G356)=J36)*1),IF(Dashboard!B4="Quarterly",SUMPRODUCT(('Data Entry'!P2:P356=Dashboard!K4)*(TRIM('Data Entry'!G2:G356)=J36)*1),SUMPRODUCT((TRIM('Data Entry'!G2:G356)=J36)*1))))</f>
        <v/>
      </c>
      <c r="M36" s="63" t="inlineStr">
        <is>
          <t>Friday</t>
        </is>
      </c>
      <c r="N36" s="63">
        <f>IF(Dashboard!B4="Weekly",SUMPRODUCT((MONTH('Data Entry'!A2:A356)=Dashboard!N4)*(YEAR('Data Entry'!A2:A356)=Dashboard!O4)*(INT((DAY('Data Entry'!A2:A356)-1)/7)+1=Dashboard!M4)*(WEEKDAY('Data Entry'!A2:A356)=6)*1),IF(Dashboard!B4="Monthly",SUMPRODUCT((MONTH('Data Entry'!A2:A356)=Dashboard!N4)*(YEAR('Data Entry'!A2:A356)=Dashboard!O4)*(WEEKDAY('Data Entry'!A2:A356)=6)*1),IF(Dashboard!B4="Quarterly",SUMPRODUCT(('Data Entry'!P2:P356=Dashboard!K4)*(WEEKDAY('Data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IF(Dashboard!B4="Weekly",SUMPRODUCT((MONTH('Data Entry'!A2:A356)=Dashboard!N4)*(YEAR('Data Entry'!A2:A356)=Dashboard!O4)*(INT((DAY('Data Entry'!A2:A356)-1)/7)+1=Dashboard!M4)*(WEEKDAY('Data Entry'!A2:A356)=7)*1),IF(Dashboard!B4="Monthly",SUMPRODUCT((MONTH('Data Entry'!A2:A356)=Dashboard!N4)*(YEAR('Data Entry'!A2:A356)=Dashboard!O4)*(WEEKDAY('Data Entry'!A2:A356)=7)*1),IF(Dashboard!B4="Quarterly",SUMPRODUCT(('Data Entry'!P2:P356=Dashboard!K4)*(WEEKDAY('Data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IF(Dashboard!B4="Weekly",SUMPRODUCT((MONTH('Data Entry'!A2:A356)=Dashboard!N4)*(YEAR('Data Entry'!A2:A356)=Dashboard!O4)*(INT((DAY('Data Entry'!A2:A356)-1)/7)+1=Dashboard!M4)*(WEEKDAY('Data Entry'!A2:A356)=1)*1),IF(Dashboard!B4="Monthly",SUMPRODUCT((MONTH('Data Entry'!A2:A356)=Dashboard!N4)*(YEAR('Data Entry'!A2:A356)=Dashboard!O4)*(WEEKDAY('Data Entry'!A2:A356)=1)*1),IF(Dashboard!B4="Quarterly",SUMPRODUCT(('Data Entry'!P2:P356=Dashboard!K4)*(WEEKDAY('Data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IF(Dashboard!B4="Weekly",SUMPRODUCT((MONTH('Data Entry'!A2:A356)=Dashboard!N4)*(YEAR('Data Entry'!A2:A356)=Dashboard!O4)*(INT((DAY('Data Entry'!A2:A356)-1)/7)+1=Dashboard!M4)*('Data Entry'!J2:J356=P44)*1),IF(Dashboard!B4="Monthly",SUMPRODUCT((MONTH('Data Entry'!A2:A356)=Dashboard!N4)*(YEAR('Data Entry'!A2:A356)=Dashboard!O4)*('Data Entry'!J2:J356=P44)*1),IF(Dashboard!B4="Quarterly",SUMPRODUCT(('Data Entry'!P2:P356=Dashboard!K4)*('Data Entry'!J2:J356=P44)*1),COUNTIF('Data Entry'!J2:J356,P44))))</f>
        <v/>
      </c>
    </row>
    <row r="45">
      <c r="P45" s="63" t="inlineStr">
        <is>
          <t>No</t>
        </is>
      </c>
      <c r="Q45" s="63">
        <f>IF(Dashboard!B4="Weekly",SUMPRODUCT((MONTH('Data Entry'!A2:A356)=Dashboard!N4)*(YEAR('Data Entry'!A2:A356)=Dashboard!O4)*(INT((DAY('Data Entry'!A2:A356)-1)/7)+1=Dashboard!M4)*('Data Entry'!J2:J356=P45)*1),IF(Dashboard!B4="Monthly",SUMPRODUCT((MONTH('Data Entry'!A2:A356)=Dashboard!N4)*(YEAR('Data Entry'!A2:A356)=Dashboard!O4)*('Data Entry'!J2:J356=P45)*1),IF(Dashboard!B4="Quarterly",SUMPRODUCT(('Data Entry'!P2:P356=Dashboard!K4)*('Data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2025-12-04T14:29:19Z</dcterms:modified>
  <cp:lastModifiedBy>stephen tapala</cp:lastModifiedBy>
</cp:coreProperties>
</file>