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  <sheet name="Chart Data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18" customWidth="1" style="21" min="1" max="19"/>
    <col width="12" customWidth="1" style="21" min="2" max="2"/>
    <col width="12" customWidth="1" style="21" min="3" max="3"/>
    <col width="10" customWidth="1" style="21" min="4" max="4"/>
    <col width="14" customWidth="1" style="21" min="5" max="5"/>
    <col width="14" customWidth="1" style="21" min="6" max="6"/>
    <col width="16" customWidth="1" style="21" min="7" max="7"/>
  </cols>
  <sheetData>
    <row r="1" ht="36.75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>
      <c r="A2" s="45" t="n"/>
      <c r="B2" s="46">
        <f>E4</f>
        <v/>
      </c>
      <c r="C2" s="45" t="n"/>
      <c r="D2" s="45" t="n"/>
      <c r="E2" s="45" t="n"/>
      <c r="F2" s="45" t="n"/>
      <c r="G2" s="45" t="n"/>
      <c r="H2" s="45" t="n"/>
      <c r="I2" s="45" t="n"/>
      <c r="J2" s="45" t="n"/>
      <c r="K2" s="45" t="n"/>
      <c r="L2" s="45" t="n"/>
      <c r="M2" s="45" t="n"/>
      <c r="N2" s="45" t="n"/>
    </row>
    <row r="3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15.75" customHeight="1" s="21">
      <c r="A4" s="48" t="inlineStr">
        <is>
          <t>1. Report Type:</t>
        </is>
      </c>
      <c r="B4" s="49" t="inlineStr">
        <is>
          <t>Monthly</t>
        </is>
      </c>
      <c r="C4" s="45" t="n"/>
      <c r="D4" s="50" t="inlineStr">
        <is>
          <t>2. Select Month:</t>
        </is>
      </c>
      <c r="E4" s="57" t="inlineStr">
        <is>
          <t>Oct-25</t>
        </is>
      </c>
      <c r="F4" s="52" t="n"/>
      <c r="G4" s="50" t="inlineStr">
        <is>
          <t>3. Select Week:</t>
        </is>
      </c>
      <c r="H4" s="57" t="inlineStr">
        <is>
          <t>Week 1</t>
        </is>
      </c>
      <c r="I4" s="45" t="n"/>
      <c r="J4" s="50" t="inlineStr">
        <is>
          <t>4. Select Quarter:</t>
        </is>
      </c>
      <c r="K4" s="58" t="inlineStr">
        <is>
          <t>Q4</t>
        </is>
      </c>
      <c r="L4" s="45" t="n"/>
      <c r="M4" s="60">
        <f>VALUE(SUBSTITUTE(H4,"Week ",""))</f>
        <v/>
      </c>
      <c r="N4" s="60">
        <f>MONTH(DATEVALUE("1-"&amp;E4))</f>
        <v/>
      </c>
      <c r="O4" s="61">
        <f>YEAR(DATEVALUE("1-"&amp;E4))</f>
        <v/>
      </c>
      <c r="P4" s="29" t="inlineStr">
        <is>
          <t>TOP RISK SITE</t>
        </is>
      </c>
    </row>
    <row r="5">
      <c r="A5" s="59" t="inlineStr">
        <is>
          <t>→ Monthly: Select Report Type + Month</t>
        </is>
      </c>
      <c r="B5" s="45" t="n"/>
      <c r="C5" s="45" t="n"/>
      <c r="D5" s="45" t="n"/>
      <c r="E5" s="59" t="inlineStr">
        <is>
          <t>→ Weekly: Select Month + Week</t>
        </is>
      </c>
      <c r="F5" s="45" t="n"/>
      <c r="G5" s="45" t="n"/>
      <c r="H5" s="45" t="n"/>
      <c r="I5" s="59" t="inlineStr">
        <is>
          <t>→ Quarterly: Select Quarter</t>
        </is>
      </c>
      <c r="J5" s="45" t="n"/>
      <c r="K5" s="45" t="n"/>
      <c r="L5" s="45" t="n"/>
      <c r="M5" s="45" t="n"/>
      <c r="N5" s="45" t="n"/>
      <c r="P5" s="5" t="n"/>
      <c r="Q5" s="5" t="n"/>
      <c r="R5" s="5" t="n"/>
      <c r="S5" s="5" t="n"/>
    </row>
    <row r="6" ht="46.5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54" t="inlineStr">
        <is>
          <t>Period:</t>
        </is>
      </c>
      <c r="B7" s="55">
        <f>IF(B4="Weekly",E4&amp;" - "&amp;H4,IF(B4="Monthly",E4,IF(B4="Quarterly",K4&amp;" "&amp;RIGHT(E4,2),"All Time")))</f>
        <v/>
      </c>
      <c r="C7" s="45" t="n"/>
      <c r="D7" s="54" t="inlineStr">
        <is>
          <t>Total Incidents</t>
        </is>
      </c>
      <c r="E7" s="56">
        <f>IF(B4="Weekly",SUMPRODUCT((MONTH(MedicalData[Date])=$N$4)*(YEAR(MedicalData[Date])=$O$4)*(INT((DAY(MedicalData[Date])-1)/7)+1=$M$4)*1),IF(B4="Monthly",SUMPRODUCT((MONTH(MedicalData[Date])=$N$4)*(YEAR(MedicalData[Date])=$O$4)*1),IF(B4="Quarterly",COUNTIF(MedicalData[Quarter],K4),COUNTA(MedicalData[Date]))))</f>
        <v/>
      </c>
      <c r="F7" s="45" t="n"/>
      <c r="G7" s="54" t="inlineStr">
        <is>
          <t>Ambulance</t>
        </is>
      </c>
      <c r="H7" s="56">
        <f>IF(B4="Weekly",SUMPRODUCT((MONTH(MedicalData[Date])=$N$4)*(YEAR(MedicalData[Date])=$O$4)*(INT((DAY(MedicalData[Date])-1)/7)+1=$M$4)*(MedicalData[Hospital Transportation]="Yes")*1),IF(B4="Monthly",SUMPRODUCT((MONTH(MedicalData[Date])=$N$4)*(YEAR(MedicalData[Date])=$O$4)*(MedicalData[Hospital Transportation]="Yes")*1),IF(B4="Quarterly",COUNTIFS(MedicalData[Quarter],K4,MedicalData[Hospital Transportation],"Yes"),COUNTIF(MedicalData[Hospital Transportation],"Yes"))))</f>
        <v/>
      </c>
      <c r="I7" s="45" t="n"/>
      <c r="J7" s="54" t="inlineStr">
        <is>
          <t>Avg Age</t>
        </is>
      </c>
      <c r="K7" s="56">
        <f>IFERROR(ROUND(IF(B4="Monthly",AVERAGEIF(MedicalData[Month],E4,MedicalData[Age]),IF(B4="Quarterly",AVERAGEIF(MedicalData[Quarter],K4,MedicalData[Age]),AVERAGE(MedicalData[Age]))),0),"-")</f>
        <v/>
      </c>
      <c r="L7" s="45" t="n"/>
      <c r="M7" s="45" t="n"/>
      <c r="N7" s="45" t="n"/>
      <c r="P7" s="5" t="n"/>
      <c r="Q7" s="5" t="n"/>
      <c r="R7" s="10">
        <f>IF(Q6="","",COUNTIF(MedicalData[Site],Q6))</f>
        <v/>
      </c>
      <c r="S7" s="5" t="n"/>
    </row>
    <row r="8">
      <c r="A8" s="45" t="n"/>
      <c r="B8" s="45" t="n"/>
      <c r="C8" s="45" t="n"/>
      <c r="D8" s="45" t="n"/>
      <c r="E8" s="45" t="n"/>
      <c r="F8" s="45" t="n"/>
      <c r="G8" s="45" t="n"/>
      <c r="H8" s="45" t="n"/>
      <c r="I8" s="45" t="n"/>
      <c r="J8" s="45" t="n"/>
      <c r="K8" s="45" t="n"/>
      <c r="L8" s="45" t="n"/>
      <c r="M8" s="45" t="n"/>
      <c r="N8" s="45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8">
      <c r="A28" s="42" t="n"/>
      <c r="B28" s="42" t="n"/>
      <c r="C28" s="42" t="n"/>
      <c r="D28" s="42" t="n"/>
      <c r="E28" s="42" t="n"/>
      <c r="F28" s="42" t="n"/>
    </row>
    <row r="34">
      <c r="A34" s="30" t="n"/>
      <c r="B34" s="30" t="n"/>
      <c r="C34" s="30" t="n"/>
    </row>
    <row r="37">
      <c r="A37" s="40" t="n"/>
    </row>
    <row r="38">
      <c r="B38" s="33" t="n"/>
    </row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4">
      <c r="F44" s="30" t="n"/>
    </row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IF(B4="Weekly","Monday",IF(B4="Monthly","Week 1",IF(B4="Quarterly",IF(1&gt;3,"","Month 1"),"1")))</f>
        <v/>
      </c>
      <c r="B91">
        <f>IF(B4="Weekly",SUMPRODUCT((MONTH(MedicalData[Date])=$N$4)*(YEAR(MedicalData[Date])=$O$4)*(INT((DAY(MedicalData[Date])-1)/7)+1=$M$4)*(WEEKDAY(MedicalData[Date],2)=1)*1),IF(B4="Monthly",SUMPRODUCT((MONTH(MedicalData[Date])=$N$4)*(YEAR(MedicalData[Date])=$O$4)*(INT((DAY(MedicalData[Date])-1)/7)+1=1)*1),IF(B4="Quarterly",IF(1&gt;3,0,COUNTIF(MedicalData[Quarter],K4)),0)))</f>
        <v/>
      </c>
      <c r="C91">
        <f>IF(B4="Weekly",SUMPRODUCT((MONTH(MedicalData[Date])=$N$4)*(YEAR(MedicalData[Date])=$O$4)*(INT((DAY(MedicalData[Date])-1)/7)+1=$M$4)*(WEEKDAY(MedicalData[Date],2)=1)*(MedicalData[Hospital Transportation]="Yes")*1),IF(B4="Monthly",SUMPRODUCT((MONTH(MedicalData[Date])=$N$4)*(YEAR(MedicalData[Date])=$O$4)*(INT((DAY(MedicalData[Date])-1)/7)+1=1)*(MedicalData[Hospital Transportation]="Yes")*1),0))</f>
        <v/>
      </c>
      <c r="D91">
        <f>IF(OR(B91=0,B91=""),"-",IFERROR(ROUND(AVERAGEIF(MedicalData[Month],E4,MedicalData[Age]),0),"-"))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IF(B4="Weekly","Tuesday",IF(B4="Monthly","Week 2",IF(B4="Quarterly",IF(2&gt;3,"","Month 2"),"2")))</f>
        <v/>
      </c>
      <c r="B92">
        <f>IF(B4="Weekly",SUMPRODUCT((MONTH(MedicalData[Date])=$N$4)*(YEAR(MedicalData[Date])=$O$4)*(INT((DAY(MedicalData[Date])-1)/7)+1=$M$4)*(WEEKDAY(MedicalData[Date],2)=2)*1),IF(B4="Monthly",SUMPRODUCT((MONTH(MedicalData[Date])=$N$4)*(YEAR(MedicalData[Date])=$O$4)*(INT((DAY(MedicalData[Date])-1)/7)+1=2)*1),IF(B4="Quarterly",IF(2&gt;3,0,COUNTIF(MedicalData[Quarter],K4)),0)))</f>
        <v/>
      </c>
      <c r="C92">
        <f>IF(B4="Weekly",SUMPRODUCT((MONTH(MedicalData[Date])=$N$4)*(YEAR(MedicalData[Date])=$O$4)*(INT((DAY(MedicalData[Date])-1)/7)+1=$M$4)*(WEEKDAY(MedicalData[Date],2)=2)*(MedicalData[Hospital Transportation]="Yes")*1),IF(B4="Monthly",SUMPRODUCT((MONTH(MedicalData[Date])=$N$4)*(YEAR(MedicalData[Date])=$O$4)*(INT((DAY(MedicalData[Date])-1)/7)+1=2)*(MedicalData[Hospital Transportation]="Yes")*1),0))</f>
        <v/>
      </c>
      <c r="D92">
        <f>IF(OR(B92=0,B92=""),"-",IFERROR(ROUND(AVERAGEIF(MedicalData[Month],E4,MedicalData[Age]),0),"-"))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IF(B4="Weekly","Wednesday",IF(B4="Monthly","Week 3",IF(B4="Quarterly",IF(3&gt;3,"","Month 3"),"3")))</f>
        <v/>
      </c>
      <c r="B93">
        <f>IF(B4="Weekly",SUMPRODUCT((MONTH(MedicalData[Date])=$N$4)*(YEAR(MedicalData[Date])=$O$4)*(INT((DAY(MedicalData[Date])-1)/7)+1=$M$4)*(WEEKDAY(MedicalData[Date],2)=3)*1),IF(B4="Monthly",SUMPRODUCT((MONTH(MedicalData[Date])=$N$4)*(YEAR(MedicalData[Date])=$O$4)*(INT((DAY(MedicalData[Date])-1)/7)+1=3)*1),IF(B4="Quarterly",IF(3&gt;3,0,COUNTIF(MedicalData[Quarter],K4)),0)))</f>
        <v/>
      </c>
      <c r="C93">
        <f>IF(B4="Weekly",SUMPRODUCT((MONTH(MedicalData[Date])=$N$4)*(YEAR(MedicalData[Date])=$O$4)*(INT((DAY(MedicalData[Date])-1)/7)+1=$M$4)*(WEEKDAY(MedicalData[Date],2)=3)*(MedicalData[Hospital Transportation]="Yes")*1),IF(B4="Monthly",SUMPRODUCT((MONTH(MedicalData[Date])=$N$4)*(YEAR(MedicalData[Date])=$O$4)*(INT((DAY(MedicalData[Date])-1)/7)+1=3)*(MedicalData[Hospital Transportation]="Yes")*1),0))</f>
        <v/>
      </c>
      <c r="D93">
        <f>IF(OR(B93=0,B93=""),"-",IFERROR(ROUND(AVERAGEIF(MedicalData[Month],E4,MedicalData[Age]),0),"-"))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IF(B4="Weekly","Thursday",IF(B4="Monthly","Week 4",IF(B4="Quarterly",IF(4&gt;3,"","Month 4"),"4")))</f>
        <v/>
      </c>
      <c r="B94">
        <f>IF(B4="Weekly",SUMPRODUCT((MONTH(MedicalData[Date])=$N$4)*(YEAR(MedicalData[Date])=$O$4)*(INT((DAY(MedicalData[Date])-1)/7)+1=$M$4)*(WEEKDAY(MedicalData[Date],2)=4)*1),IF(B4="Monthly",SUMPRODUCT((MONTH(MedicalData[Date])=$N$4)*(YEAR(MedicalData[Date])=$O$4)*(INT((DAY(MedicalData[Date])-1)/7)+1=4)*1),IF(B4="Quarterly",IF(4&gt;3,0,COUNTIF(MedicalData[Quarter],K4)),0)))</f>
        <v/>
      </c>
      <c r="C94">
        <f>IF(B4="Weekly",SUMPRODUCT((MONTH(MedicalData[Date])=$N$4)*(YEAR(MedicalData[Date])=$O$4)*(INT((DAY(MedicalData[Date])-1)/7)+1=$M$4)*(WEEKDAY(MedicalData[Date],2)=4)*(MedicalData[Hospital Transportation]="Yes")*1),IF(B4="Monthly",SUMPRODUCT((MONTH(MedicalData[Date])=$N$4)*(YEAR(MedicalData[Date])=$O$4)*(INT((DAY(MedicalData[Date])-1)/7)+1=4)*(MedicalData[Hospital Transportation]="Yes")*1),0))</f>
        <v/>
      </c>
      <c r="D94">
        <f>IF(OR(B94=0,B94=""),"-",IFERROR(ROUND(AVERAGEIF(MedicalData[Month],E4,MedicalData[Age]),0),"-"))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IF(B4="Weekly","Friday",IF(B4="Monthly","Week 5",IF(B4="Quarterly",IF(5&gt;3,"","Month 5"),"5")))</f>
        <v/>
      </c>
      <c r="B95">
        <f>IF(B4="Weekly",SUMPRODUCT((MONTH(MedicalData[Date])=$N$4)*(YEAR(MedicalData[Date])=$O$4)*(INT((DAY(MedicalData[Date])-1)/7)+1=$M$4)*(WEEKDAY(MedicalData[Date],2)=5)*1),IF(B4="Monthly",SUMPRODUCT((MONTH(MedicalData[Date])=$N$4)*(YEAR(MedicalData[Date])=$O$4)*(INT((DAY(MedicalData[Date])-1)/7)+1=5)*1),IF(B4="Quarterly",IF(5&gt;3,0,COUNTIF(MedicalData[Quarter],K4)),0)))</f>
        <v/>
      </c>
      <c r="C95">
        <f>IF(B4="Weekly",SUMPRODUCT((MONTH(MedicalData[Date])=$N$4)*(YEAR(MedicalData[Date])=$O$4)*(INT((DAY(MedicalData[Date])-1)/7)+1=$M$4)*(WEEKDAY(MedicalData[Date],2)=5)*(MedicalData[Hospital Transportation]="Yes")*1),IF(B4="Monthly",SUMPRODUCT((MONTH(MedicalData[Date])=$N$4)*(YEAR(MedicalData[Date])=$O$4)*(INT((DAY(MedicalData[Date])-1)/7)+1=5)*(MedicalData[Hospital Transportation]="Yes")*1),0))</f>
        <v/>
      </c>
      <c r="D95">
        <f>IF(OR(B95=0,B95=""),"-",IFERROR(ROUND(AVERAGEIF(MedicalData[Month],E4,MedicalData[Age]),0),"-"))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SUM(B91:B95)</f>
        <v/>
      </c>
      <c r="C96" s="30">
        <f>SUM(C91:C95)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</t>
        </is>
      </c>
      <c r="B103" s="42">
        <f>COUNTIF(MedicalData[Quarter],A103)</f>
        <v/>
      </c>
      <c r="C103" s="42">
        <f>COUNTIFS(MedicalData[Quarter],A103,MedicalData[Hospital Transportation],"Yes")</f>
        <v/>
      </c>
      <c r="D103" s="42">
        <f>IFERROR(ROUND(AVERAGEIF(MedicalData[Quarter],A103,MedicalData[Age]),0),"-")</f>
        <v/>
      </c>
      <c r="E103" s="42" t="n"/>
      <c r="F103" s="42" t="n"/>
    </row>
    <row r="104">
      <c r="A104" t="inlineStr">
        <is>
          <t>Q2</t>
        </is>
      </c>
      <c r="B104">
        <f>COUNTIF(MedicalData[Quarter],A104)</f>
        <v/>
      </c>
      <c r="C104">
        <f>COUNTIFS(MedicalData[Quarter],A104,MedicalData[Hospital Transportation],"Yes")</f>
        <v/>
      </c>
      <c r="D104">
        <f>IFERROR(ROUND(AVERAGEIF(MedicalData[Quarter],A104,MedicalData[Age]),0),"-")</f>
        <v/>
      </c>
      <c r="E104">
        <f>IF(B103=0,"-",TEXT((B104-B103)/B103,"+0%;-0%"))</f>
        <v/>
      </c>
      <c r="F104" s="30" t="n"/>
    </row>
    <row r="105">
      <c r="A105" t="inlineStr">
        <is>
          <t>Q3</t>
        </is>
      </c>
      <c r="B105">
        <f>COUNTIF(MedicalData[Quarter],A105)</f>
        <v/>
      </c>
      <c r="C105">
        <f>COUNTIFS(MedicalData[Quarter],A105,MedicalData[Hospital Transportation],"Yes")</f>
        <v/>
      </c>
      <c r="D105">
        <f>IFERROR(ROUND(AVERAGEIF(MedicalData[Quarter],A105,MedicalData[Age]),0),"-")</f>
        <v/>
      </c>
      <c r="E105">
        <f>IF(B104=0,"-",TEXT((B105-B104)/B104,"+0%;-0%"))</f>
        <v/>
      </c>
      <c r="F105" s="30" t="n"/>
    </row>
    <row r="106">
      <c r="A106" t="inlineStr">
        <is>
          <t>Q4</t>
        </is>
      </c>
      <c r="B106">
        <f>COUNTIF(MedicalData[Quarter],A106)</f>
        <v/>
      </c>
      <c r="C106">
        <f>COUNTIFS(MedicalData[Quarter],A106,MedicalData[Hospital Transportation],"Yes")</f>
        <v/>
      </c>
      <c r="D106">
        <f>IFERROR(ROUND(AVERAGEIF(MedicalData[Quarter],A106,MedicalData[Age]),0),"-")</f>
        <v/>
      </c>
      <c r="E106">
        <f>IF(B105=0,"-",TEXT((B106-B105)/B105,"+0%;-0%"))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IFERROR(ROUND(AVERAGE(MedicalData[Age]),0),"-")</f>
        <v/>
      </c>
      <c r="F107" s="30" t="n"/>
    </row>
    <row r="109">
      <c r="A109" s="43" t="n"/>
    </row>
  </sheetData>
  <mergeCells count="2">
    <mergeCell ref="A76:N76"/>
    <mergeCell ref="A61:N61"/>
  </mergeCells>
  <dataValidations count="4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Dashboard!B4="Weekly",SUMPRODUCT((MONTH(MedicalData[Date])=Dashboard!$N$4)*(YEAR(MedicalData[Date])=Dashboard!$O$4)*(INT((DAY(MedicalData[Date])-1)/7)+1=Dashboard!$M$4)*(MedicalData[Site]=A4)*1),IF(Dashboard!B4="Monthly",SUMPRODUCT((MONTH(MedicalData[Date])=Dashboard!$N$4)*(YEAR(MedicalData[Date])=Dashboard!$O$4)*(MedicalData[Site]=A4)*1),IF(Dashboard!B4="Quarterly",COUNTIFS(MedicalData[Site],A4,MedicalData[Quarter],Dashboard!K4),COUNTIF(MedicalData[Site]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Dashboard!B4="Weekly",SUMPRODUCT((MONTH(MedicalData[Date])=Dashboard!$N$4)*(YEAR(MedicalData[Date])=Dashboard!$O$4)*(INT((DAY(MedicalData[Date])-1)/7)+1=Dashboard!$M$4)*(MedicalData[Site]=A5)*1),IF(Dashboard!B4="Monthly",SUMPRODUCT((MONTH(MedicalData[Date])=Dashboard!$N$4)*(YEAR(MedicalData[Date])=Dashboard!$O$4)*(MedicalData[Site]=A5)*1),IF(Dashboard!B4="Quarterly",COUNTIFS(MedicalData[Site],A5,MedicalData[Quarter],Dashboard!K4),COUNTIF(MedicalData[Site]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Dashboard!B4="Weekly",SUMPRODUCT((MONTH(MedicalData[Date])=Dashboard!$N$4)*(YEAR(MedicalData[Date])=Dashboard!$O$4)*(INT((DAY(MedicalData[Date])-1)/7)+1=Dashboard!$M$4)*(MedicalData[Site]=A6)*1),IF(Dashboard!B4="Monthly",SUMPRODUCT((MONTH(MedicalData[Date])=Dashboard!$N$4)*(YEAR(MedicalData[Date])=Dashboard!$O$4)*(MedicalData[Site]=A6)*1),IF(Dashboard!B4="Quarterly",COUNTIFS(MedicalData[Site],A6,MedicalData[Quarter],Dashboard!K4),COUNTIF(MedicalData[Site]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Dashboard!B4="Weekly",SUMPRODUCT((MONTH(MedicalData[Date])=Dashboard!$N$4)*(YEAR(MedicalData[Date])=Dashboard!$O$4)*(INT((DAY(MedicalData[Date])-1)/7)+1=Dashboard!$M$4)*(MedicalData[Site]=A7)*1),IF(Dashboard!B4="Monthly",SUMPRODUCT((MONTH(MedicalData[Date])=Dashboard!$N$4)*(YEAR(MedicalData[Date])=Dashboard!$O$4)*(MedicalData[Site]=A7)*1),IF(Dashboard!B4="Quarterly",COUNTIFS(MedicalData[Site],A7,MedicalData[Quarter],Dashboard!K4),COUNTIF(MedicalData[Site]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Dashboard!B4="Weekly",SUMPRODUCT((MONTH(MedicalData[Date])=Dashboard!$N$4)*(YEAR(MedicalData[Date])=Dashboard!$O$4)*(INT((DAY(MedicalData[Date])-1)/7)+1=Dashboard!$M$4)*(MedicalData[Site]=A8)*1),IF(Dashboard!B4="Monthly",SUMPRODUCT((MONTH(MedicalData[Date])=Dashboard!$N$4)*(YEAR(MedicalData[Date])=Dashboard!$O$4)*(MedicalData[Site]=A8)*1),IF(Dashboard!B4="Quarterly",COUNTIFS(MedicalData[Site],A8,MedicalData[Quarter],Dashboard!K4),COUNTIF(MedicalData[Site]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Dashboard!B4="Weekly",SUMPRODUCT((MONTH(MedicalData[Date])=Dashboard!$N$4)*(YEAR(MedicalData[Date])=Dashboard!$O$4)*(INT((DAY(MedicalData[Date])-1)/7)+1=Dashboard!$M$4)*(MedicalData[Site]=A9)*1),IF(Dashboard!B4="Monthly",SUMPRODUCT((MONTH(MedicalData[Date])=Dashboard!$N$4)*(YEAR(MedicalData[Date])=Dashboard!$O$4)*(MedicalData[Site]=A9)*1),IF(Dashboard!B4="Quarterly",COUNTIFS(MedicalData[Site],A9,MedicalData[Quarter],Dashboard!K4),COUNTIF(MedicalData[Site]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Dashboard!B4="Weekly",SUMPRODUCT((MONTH(MedicalData[Date])=Dashboard!$N$4)*(YEAR(MedicalData[Date])=Dashboard!$O$4)*(INT((DAY(MedicalData[Date])-1)/7)+1=Dashboard!$M$4)*(MedicalData[Site]=A10)*1),IF(Dashboard!B4="Monthly",SUMPRODUCT((MONTH(MedicalData[Date])=Dashboard!$N$4)*(YEAR(MedicalData[Date])=Dashboard!$O$4)*(MedicalData[Site]=A10)*1),IF(Dashboard!B4="Quarterly",COUNTIFS(MedicalData[Site],A10,MedicalData[Quarter],Dashboard!K4),COUNTIF(MedicalData[Site]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Dashboard!B4="Weekly",SUMPRODUCT((MONTH(MedicalData[Date])=Dashboard!$N$4)*(YEAR(MedicalData[Date])=Dashboard!$O$4)*(INT((DAY(MedicalData[Date])-1)/7)+1=Dashboard!$M$4)*(MedicalData[Site]=A11)*1),IF(Dashboard!B4="Monthly",SUMPRODUCT((MONTH(MedicalData[Date])=Dashboard!$N$4)*(YEAR(MedicalData[Date])=Dashboard!$O$4)*(MedicalData[Site]=A11)*1),IF(Dashboard!B4="Quarterly",COUNTIFS(MedicalData[Site],A11,MedicalData[Quarter],Dashboard!K4),COUNTIF(MedicalData[Site]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Dashboard!B4="Weekly",SUMPRODUCT((MONTH(MedicalData[Date])=Dashboard!$N$4)*(YEAR(MedicalData[Date])=Dashboard!$O$4)*(INT((DAY(MedicalData[Date])-1)/7)+1=Dashboard!$M$4)*(MedicalData[Site]=A12)*1),IF(Dashboard!B4="Monthly",SUMPRODUCT((MONTH(MedicalData[Date])=Dashboard!$N$4)*(YEAR(MedicalData[Date])=Dashboard!$O$4)*(MedicalData[Site]=A12)*1),IF(Dashboard!B4="Quarterly",COUNTIFS(MedicalData[Site],A12,MedicalData[Quarter],Dashboard!K4),COUNTIF(MedicalData[Site]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Dashboard!B4="Weekly",SUMPRODUCT((MONTH(MedicalData[Date])=Dashboard!$N$4)*(YEAR(MedicalData[Date])=Dashboard!$O$4)*(INT((DAY(MedicalData[Date])-1)/7)+1=Dashboard!$M$4)*(MedicalData[Site]=A13)*1),IF(Dashboard!B4="Monthly",SUMPRODUCT((MONTH(MedicalData[Date])=Dashboard!$N$4)*(YEAR(MedicalData[Date])=Dashboard!$O$4)*(MedicalData[Site]=A13)*1),IF(Dashboard!B4="Quarterly",COUNTIFS(MedicalData[Site],A13,MedicalData[Quarter],Dashboard!K4),COUNTIF(MedicalData[Site]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Dashboard!B4="Weekly",SUMPRODUCT((MONTH(MedicalData[Date])=Dashboard!$N$4)*(YEAR(MedicalData[Date])=Dashboard!$O$4)*(INT((DAY(MedicalData[Date])-1)/7)+1=Dashboard!$M$4)*(MedicalData[Site]=A14)*1),IF(Dashboard!B4="Monthly",SUMPRODUCT((MONTH(MedicalData[Date])=Dashboard!$N$4)*(YEAR(MedicalData[Date])=Dashboard!$O$4)*(MedicalData[Site]=A14)*1),IF(Dashboard!B4="Quarterly",COUNTIFS(MedicalData[Site],A14,MedicalData[Quarter],Dashboard!K4),COUNTIF(MedicalData[Site]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Dashboard!B4="Weekly",SUMPRODUCT((MONTH(MedicalData[Date])=Dashboard!$N$4)*(YEAR(MedicalData[Date])=Dashboard!$O$4)*(INT((DAY(MedicalData[Date])-1)/7)+1=Dashboard!$M$4)*(MedicalData[Site]=A15)*1),IF(Dashboard!B4="Monthly",SUMPRODUCT((MONTH(MedicalData[Date])=Dashboard!$N$4)*(YEAR(MedicalData[Date])=Dashboard!$O$4)*(MedicalData[Site]=A15)*1),IF(Dashboard!B4="Quarterly",COUNTIFS(MedicalData[Site],A15,MedicalData[Quarter],Dashboard!K4),COUNTIF(MedicalData[Site]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Dashboard!B4="Weekly",SUMPRODUCT((MONTH(MedicalData[Date])=Dashboard!$N$4)*(YEAR(MedicalData[Date])=Dashboard!$O$4)*(INT((DAY(MedicalData[Date])-1)/7)+1=Dashboard!$M$4)*(MedicalData[Site]=A16)*1),IF(Dashboard!B4="Monthly",SUMPRODUCT((MONTH(MedicalData[Date])=Dashboard!$N$4)*(YEAR(MedicalData[Date])=Dashboard!$O$4)*(MedicalData[Site]=A16)*1),IF(Dashboard!B4="Quarterly",COUNTIFS(MedicalData[Site],A16,MedicalData[Quarter],Dashboard!K4),COUNTIF(MedicalData[Site]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Dashboard!B4="Weekly",SUMPRODUCT((MONTH(MedicalData[Date])=Dashboard!$N$4)*(YEAR(MedicalData[Date])=Dashboard!$O$4)*(INT((DAY(MedicalData[Date])-1)/7)+1=Dashboard!$M$4)*(MedicalData[Site]=A17)*1),IF(Dashboard!B4="Monthly",SUMPRODUCT((MONTH(MedicalData[Date])=Dashboard!$N$4)*(YEAR(MedicalData[Date])=Dashboard!$O$4)*(MedicalData[Site]=A17)*1),IF(Dashboard!B4="Quarterly",COUNTIFS(MedicalData[Site],A17,MedicalData[Quarter],Dashboard!K4),COUNTIF(MedicalData[Site]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Dashboard!B4="Weekly",SUMPRODUCT((MONTH(MedicalData[Date])=Dashboard!$N$4)*(YEAR(MedicalData[Date])=Dashboard!$O$4)*(INT((DAY(MedicalData[Date])-1)/7)+1=Dashboard!$M$4)*(MedicalData[Site]=A18)*1),IF(Dashboard!B4="Monthly",SUMPRODUCT((MONTH(MedicalData[Date])=Dashboard!$N$4)*(YEAR(MedicalData[Date])=Dashboard!$O$4)*(MedicalData[Site]=A18)*1),IF(Dashboard!B4="Quarterly",COUNTIFS(MedicalData[Site],A18,MedicalData[Quarter],Dashboard!K4),COUNTIF(MedicalData[Site]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Dashboard!B4="Weekly",SUMPRODUCT((MONTH(MedicalData[Date])=Dashboard!$N$4)*(YEAR(MedicalData[Date])=Dashboard!$O$4)*(INT((DAY(MedicalData[Date])-1)/7)+1=Dashboard!$M$4)*(MedicalData[Site]=A19)*1),IF(Dashboard!B4="Monthly",SUMPRODUCT((MONTH(MedicalData[Date])=Dashboard!$N$4)*(YEAR(MedicalData[Date])=Dashboard!$O$4)*(MedicalData[Site]=A19)*1),IF(Dashboard!B4="Quarterly",COUNTIFS(MedicalData[Site],A19,MedicalData[Quarter],Dashboard!K4),COUNTIF(MedicalData[Site]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MedicalData[Date])=Dashboard!$N$4)*(YEAR(MedicalData[Date])=Dashboard!$O$4)*(INT((DAY(MedicalData[Date])-1)/7)+1=Dashboard!$M$4)*(MedicalData[Age]&gt;=0)*(MedicalData[Age]&lt;=12)*1),IF(Dashboard!B4="Monthly",SUMPRODUCT((MONTH(MedicalData[Date])=Dashboard!$N$4)*(YEAR(MedicalData[Date])=Dashboard!$O$4)*(MedicalData[Age]&gt;=0)*(MedicalData[Age]&lt;=12)*1),IF(Dashboard!B4="Quarterly",COUNTIFS(MedicalData[Age],"&gt;=0",MedicalData[Age],"&lt;=12",MedicalData[Quarter],Dashboard!K4),COUNTIFS(MedicalData[Age],"&gt;=0",MedicalData[Age],"&lt;=12")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MedicalData[Date])=Dashboard!$N$4)*(YEAR(MedicalData[Date])=Dashboard!$O$4)*(INT((DAY(MedicalData[Date])-1)/7)+1=Dashboard!$M$4)*(MedicalData[Age]&gt;=13)*(MedicalData[Age]&lt;=17)*1),IF(Dashboard!B4="Monthly",SUMPRODUCT((MONTH(MedicalData[Date])=Dashboard!$N$4)*(YEAR(MedicalData[Date])=Dashboard!$O$4)*(MedicalData[Age]&gt;=13)*(MedicalData[Age]&lt;=17)*1),IF(Dashboard!B4="Quarterly",COUNTIFS(MedicalData[Age],"&gt;=13",MedicalData[Age],"&lt;=17",MedicalData[Quarter],Dashboard!K4),COUNTIFS(MedicalData[Age],"&gt;=13",MedicalData[Age],"&lt;=17")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MedicalData[Date])=Dashboard!$N$4)*(YEAR(MedicalData[Date])=Dashboard!$O$4)*(INT((DAY(MedicalData[Date])-1)/7)+1=Dashboard!$M$4)*(MedicalData[Age]&gt;=18)*(MedicalData[Age]&lt;=25)*1),IF(Dashboard!B4="Monthly",SUMPRODUCT((MONTH(MedicalData[Date])=Dashboard!$N$4)*(YEAR(MedicalData[Date])=Dashboard!$O$4)*(MedicalData[Age]&gt;=18)*(MedicalData[Age]&lt;=25)*1),IF(Dashboard!B4="Quarterly",COUNTIFS(MedicalData[Age],"&gt;=18",MedicalData[Age],"&lt;=25",MedicalData[Quarter],Dashboard!K4),COUNTIFS(MedicalData[Age],"&gt;=18",MedicalData[Age],"&lt;=25")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MedicalData[Date])=Dashboard!$N$4)*(YEAR(MedicalData[Date])=Dashboard!$O$4)*(INT((DAY(MedicalData[Date])-1)/7)+1=Dashboard!$M$4)*(MedicalData[Age]&gt;=26)*(MedicalData[Age]&lt;=35)*1),IF(Dashboard!B4="Monthly",SUMPRODUCT((MONTH(MedicalData[Date])=Dashboard!$N$4)*(YEAR(MedicalData[Date])=Dashboard!$O$4)*(MedicalData[Age]&gt;=26)*(MedicalData[Age]&lt;=35)*1),IF(Dashboard!B4="Quarterly",COUNTIFS(MedicalData[Age],"&gt;=26",MedicalData[Age],"&lt;=35",MedicalData[Quarter],Dashboard!K4),COUNTIFS(MedicalData[Age],"&gt;=26",MedicalData[Age],"&lt;=35")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MedicalData[Date])=Dashboard!$N$4)*(YEAR(MedicalData[Date])=Dashboard!$O$4)*(INT((DAY(MedicalData[Date])-1)/7)+1=Dashboard!$M$4)*(MedicalData[Age]&gt;=36)*1),IF(Dashboard!B4="Monthly",SUMPRODUCT((MONTH(MedicalData[Date])=Dashboard!$N$4)*(YEAR(MedicalData[Date])=Dashboard!$O$4)*(MedicalData[Age]&gt;=36)*1),IF(Dashboard!B4="Quarterly",COUNTIFS(MedicalData[Age],"&gt;=36",MedicalData[Quarter],Dashboard!K4),COUNTIFS(MedicalData[Age],"&gt;=36")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IF(Dashboard!B4="Weekly",SUMPRODUCT((MedicalData[Month]=Dashboard!E4)*(INT((DAY(MedicalData[Date])-1)/7)+1=Dashboard!$M$4)*(ISNUMBER(SEARCH(A5,MedicalData[Specific injuries treated])))*1),IF(Dashboard!B4="Monthly",COUNTIFS(MedicalData[Specific injuries treated],"*"&amp;A5&amp;"*",MedicalData[Month],Dashboard!E4),IF(Dashboard!B4="Quarterly",COUNTIFS(MedicalData[Specific injuries treated],"*"&amp;A5&amp;"*",MedicalData[Quarter],Dashboard!K4),COUNTIF(MedicalData[Specific injuries treated],"*"&amp;A5&amp;"*"))))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IF(Dashboard!B4="Weekly",SUMPRODUCT((MedicalData[Month]=Dashboard!E4)*(INT((DAY(MedicalData[Date])-1)/7)+1=Dashboard!$M$4)*(ISNUMBER(SEARCH(A6,MedicalData[Specific injuries treated])))*1),IF(Dashboard!B4="Monthly",COUNTIFS(MedicalData[Specific injuries treated],"*"&amp;A6&amp;"*",MedicalData[Month],Dashboard!E4),IF(Dashboard!B4="Quarterly",COUNTIFS(MedicalData[Specific injuries treated],"*"&amp;A6&amp;"*",MedicalData[Quarter],Dashboard!K4),COUNTIF(MedicalData[Specific injuries treated],"*"&amp;A6&amp;"*"))))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IF(Dashboard!B4="Weekly",SUMPRODUCT((MedicalData[Month]=Dashboard!E4)*(INT((DAY(MedicalData[Date])-1)/7)+1=Dashboard!$M$4)*(ISNUMBER(SEARCH(A7,MedicalData[Specific injuries treated])))*1),IF(Dashboard!B4="Monthly",COUNTIFS(MedicalData[Specific injuries treated],"*"&amp;A7&amp;"*",MedicalData[Month],Dashboard!E4),IF(Dashboard!B4="Quarterly",COUNTIFS(MedicalData[Specific injuries treated],"*"&amp;A7&amp;"*",MedicalData[Quarter],Dashboard!K4),COUNTIF(MedicalData[Specific injuries treated],"*"&amp;A7&amp;"*"))))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IF(Dashboard!B4="Weekly",SUMPRODUCT((MedicalData[Month]=Dashboard!E4)*(INT((DAY(MedicalData[Date])-1)/7)+1=Dashboard!$M$4)*(ISNUMBER(SEARCH(A8,MedicalData[Specific injuries treated])))*1),IF(Dashboard!B4="Monthly",COUNTIFS(MedicalData[Specific injuries treated],"*"&amp;A8&amp;"*",MedicalData[Month],Dashboard!E4),IF(Dashboard!B4="Quarterly",COUNTIFS(MedicalData[Specific injuries treated],"*"&amp;A8&amp;"*",MedicalData[Quarter],Dashboard!K4),COUNTIF(MedicalData[Specific injuries treated],"*"&amp;A8&amp;"*"))))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IF(Dashboard!B4="Weekly",SUMPRODUCT((MedicalData[Month]=Dashboard!E4)*(INT((DAY(MedicalData[Date])-1)/7)+1=Dashboard!$M$4)*(ISNUMBER(SEARCH(A9,MedicalData[Specific injuries treated])))*1),IF(Dashboard!B4="Monthly",COUNTIFS(MedicalData[Specific injuries treated],"*"&amp;A9&amp;"*",MedicalData[Month],Dashboard!E4),IF(Dashboard!B4="Quarterly",COUNTIFS(MedicalData[Specific injuries treated],"*"&amp;A9&amp;"*",MedicalData[Quarter],Dashboard!K4),COUNTIF(MedicalData[Specific injuries treated],"*"&amp;A9&amp;"*"))))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IF(Dashboard!B4="Weekly",SUMPRODUCT((MedicalData[Month]=Dashboard!E4)*(INT((DAY(MedicalData[Date])-1)/7)+1=Dashboard!$M$4)*(ISNUMBER(SEARCH(A10,MedicalData[Specific injuries treated])))*1),IF(Dashboard!B4="Monthly",COUNTIFS(MedicalData[Specific injuries treated],"*"&amp;A10&amp;"*",MedicalData[Month],Dashboard!E4),IF(Dashboard!B4="Quarterly",COUNTIFS(MedicalData[Specific injuries treated],"*"&amp;A10&amp;"*",MedicalData[Quarter],Dashboard!K4),COUNTIF(MedicalData[Specific injuries treated],"*"&amp;A10&amp;"*"))))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IF(Dashboard!B4="Weekly",SUMPRODUCT((MedicalData[Month]=Dashboard!E4)*(INT((DAY(MedicalData[Date])-1)/7)+1=Dashboard!$M$4)*(ISNUMBER(SEARCH(A11,MedicalData[Specific injuries treated])))*1),IF(Dashboard!B4="Monthly",COUNTIFS(MedicalData[Specific injuries treated],"*"&amp;A11&amp;"*",MedicalData[Month],Dashboard!E4),IF(Dashboard!B4="Quarterly",COUNTIFS(MedicalData[Specific injuries treated],"*"&amp;A11&amp;"*",MedicalData[Quarter],Dashboard!K4),COUNTIF(MedicalData[Specific injuries treated],"*"&amp;A11&amp;"*"))))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IF(Dashboard!B4="Weekly",SUMPRODUCT((MedicalData[Month]=Dashboard!E4)*(INT((DAY(MedicalData[Date])-1)/7)+1=Dashboard!$M$4)*(ISNUMBER(SEARCH(A12,MedicalData[Specific injuries treated])))*1),IF(Dashboard!B4="Monthly",COUNTIFS(MedicalData[Specific injuries treated],"*"&amp;A12&amp;"*",MedicalData[Month],Dashboard!E4),IF(Dashboard!B4="Quarterly",COUNTIFS(MedicalData[Specific injuries treated],"*"&amp;A12&amp;"*",MedicalData[Quarter],Dashboard!K4),COUNTIF(MedicalData[Specific injuries treated],"*"&amp;A12&amp;"*"))))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IF(Dashboard!B4="Weekly",SUMPRODUCT((MedicalData[Month]=Dashboard!E4)*(INT((DAY(MedicalData[Date])-1)/7)+1=Dashboard!$M$4)*(ISNUMBER(SEARCH(A13,MedicalData[Specific injuries treated])))*1),IF(Dashboard!B4="Monthly",COUNTIFS(MedicalData[Specific injuries treated],"*"&amp;A13&amp;"*",MedicalData[Month],Dashboard!E4),IF(Dashboard!B4="Quarterly",COUNTIFS(MedicalData[Specific injuries treated],"*"&amp;A13&amp;"*",MedicalData[Quarter],Dashboard!K4),COUNTIF(MedicalData[Specific injuries treated],"*"&amp;A13&amp;"*"))))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IF(Dashboard!B4="Weekly",SUMPRODUCT((MedicalData[Month]=Dashboard!E4)*(INT((DAY(MedicalData[Date])-1)/7)+1=Dashboard!$M$4)*(ISNUMBER(SEARCH(A14,MedicalData[Specific injuries treated])))*1),IF(Dashboard!B4="Monthly",COUNTIFS(MedicalData[Specific injuries treated],"*"&amp;A14&amp;"*",MedicalData[Month],Dashboard!E4),IF(Dashboard!B4="Quarterly",COUNTIFS(MedicalData[Specific injuries treated],"*"&amp;A14&amp;"*",MedicalData[Quarter],Dashboard!K4),COUNTIF(MedicalData[Specific injuries treated],"*"&amp;A14&amp;"*"))))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IF(Dashboard!B4="Weekly",SUMPRODUCT((MedicalData[Month]=Dashboard!E4)*(INT((DAY(MedicalData[Date])-1)/7)+1=Dashboard!$M$4)*(ISNUMBER(SEARCH(A15,MedicalData[Specific injuries treated])))*1),IF(Dashboard!B4="Monthly",COUNTIFS(MedicalData[Specific injuries treated],"*"&amp;A15&amp;"*",MedicalData[Month],Dashboard!E4),IF(Dashboard!B4="Quarterly",COUNTIFS(MedicalData[Specific injuries treated],"*"&amp;A15&amp;"*",MedicalData[Quarter],Dashboard!K4),COUNTIF(MedicalData[Specific injuries treated],"*"&amp;A15&amp;"*"))))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IF(Dashboard!B4="Weekly",SUMPRODUCT((MedicalData[Month]=Dashboard!E4)*(INT((DAY(MedicalData[Date])-1)/7)+1=Dashboard!$M$4)*(ISNUMBER(SEARCH(A16,MedicalData[Specific injuries treated])))*1),IF(Dashboard!B4="Monthly",COUNTIFS(MedicalData[Specific injuries treated],"*"&amp;A16&amp;"*",MedicalData[Month],Dashboard!E4),IF(Dashboard!B4="Quarterly",COUNTIFS(MedicalData[Specific injuries treated],"*"&amp;A16&amp;"*",MedicalData[Quarter],Dashboard!K4),COUNTIF(MedicalData[Specific injuries treated],"*"&amp;A16&amp;"*"))))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IF(Dashboard!B4="Weekly",SUMPRODUCT((MedicalData[Month]=Dashboard!E4)*(INT((DAY(MedicalData[Date])-1)/7)+1=Dashboard!$M$4)*(ISNUMBER(SEARCH(A17,MedicalData[Specific injuries treated])))*1),IF(Dashboard!B4="Monthly",COUNTIFS(MedicalData[Specific injuries treated],"*"&amp;A17&amp;"*",MedicalData[Month],Dashboard!E4),IF(Dashboard!B4="Quarterly",COUNTIFS(MedicalData[Specific injuries treated],"*"&amp;A17&amp;"*",MedicalData[Quarter],Dashboard!K4),COUNTIF(MedicalData[Specific injuries treated],"*"&amp;A17&amp;"*"))))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IF(Dashboard!B4="Weekly",SUMPRODUCT((MedicalData[Month]=Dashboard!E4)*(INT((DAY(MedicalData[Date])-1)/7)+1=Dashboard!$M$4)*(ISNUMBER(SEARCH(A18,MedicalData[Specific injuries treated])))*1),IF(Dashboard!B4="Monthly",COUNTIFS(MedicalData[Specific injuries treated],"*"&amp;A18&amp;"*",MedicalData[Month],Dashboard!E4),IF(Dashboard!B4="Quarterly",COUNTIFS(MedicalData[Specific injuries treated],"*"&amp;A18&amp;"*",MedicalData[Quarter],Dashboard!K4),COUNTIF(MedicalData[Specific injuries treated],"*"&amp;A18&amp;"*"))))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IF(Dashboard!B4="Weekly",SUMPRODUCT((MedicalData[Month]=Dashboard!E4)*(INT((DAY(MedicalData[Date])-1)/7)+1=Dashboard!$M$4)*(ISNUMBER(SEARCH(A19,MedicalData[Specific injuries treated])))*1),IF(Dashboard!B4="Monthly",COUNTIFS(MedicalData[Specific injuries treated],"*"&amp;A19&amp;"*",MedicalData[Month],Dashboard!E4),IF(Dashboard!B4="Quarterly",COUNTIFS(MedicalData[Specific injuries treated],"*"&amp;A19&amp;"*",MedicalData[Quarter],Dashboard!K4),COUNTIF(MedicalData[Specific injuries treated],"*"&amp;A19&amp;"*"))))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IF(Dashboard!B4="Weekly",SUMPRODUCT((MedicalData[Month]=Dashboard!E4)*(INT((DAY(MedicalData[Date])-1)/7)+1=Dashboard!$M$4)*(ISNUMBER(SEARCH(A20,MedicalData[Specific injuries treated])))*1),IF(Dashboard!B4="Monthly",COUNTIFS(MedicalData[Specific injuries treated],"*"&amp;A20&amp;"*",MedicalData[Month],Dashboard!E4),IF(Dashboard!B4="Quarterly",COUNTIFS(MedicalData[Specific injuries treated],"*"&amp;A20&amp;"*",MedicalData[Quarter],Dashboard!K4),COUNTIF(MedicalData[Specific injuries treated],"*"&amp;A20&amp;"*"))))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IF(Dashboard!B4="Weekly",SUMPRODUCT((MedicalData[Month]=Dashboard!E4)*(INT((DAY(MedicalData[Date])-1)/7)+1=Dashboard!$M$4)*(ISNUMBER(SEARCH(A21,MedicalData[Specific injuries treated])))*1),IF(Dashboard!B4="Monthly",COUNTIFS(MedicalData[Specific injuries treated],"*"&amp;A21&amp;"*",MedicalData[Month],Dashboard!E4),IF(Dashboard!B4="Quarterly",COUNTIFS(MedicalData[Specific injuries treated],"*"&amp;A21&amp;"*",MedicalData[Quarter],Dashboard!K4),COUNTIF(MedicalData[Specific injuries treated],"*"&amp;A21&amp;"*"))))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IF(Dashboard!B4="Weekly",SUMPRODUCT((MedicalData[Month]=Dashboard!E4)*(INT((DAY(MedicalData[Date])-1)/7)+1=Dashboard!$M$4)*(ISNUMBER(SEARCH(A22,MedicalData[Specific injuries treated])))*1),IF(Dashboard!B4="Monthly",COUNTIFS(MedicalData[Specific injuries treated],"*"&amp;A22&amp;"*",MedicalData[Month],Dashboard!E4),IF(Dashboard!B4="Quarterly",COUNTIFS(MedicalData[Specific injuries treated],"*"&amp;A22&amp;"*",MedicalData[Quarter],Dashboard!K4),COUNTIF(MedicalData[Specific injuries treated],"*"&amp;A22&amp;"*"))))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IF(Dashboard!B4="Weekly",SUMPRODUCT((MedicalData[Month]=Dashboard!E4)*(INT((DAY(MedicalData[Date])-1)/7)+1=Dashboard!$M$4)*(ISNUMBER(SEARCH(A23,MedicalData[Specific injuries treated])))*1),IF(Dashboard!B4="Monthly",COUNTIFS(MedicalData[Specific injuries treated],"*"&amp;A23&amp;"*",MedicalData[Month],Dashboard!E4),IF(Dashboard!B4="Quarterly",COUNTIFS(MedicalData[Specific injuries treated],"*"&amp;A23&amp;"*",MedicalData[Quarter],Dashboard!K4),COUNTIF(MedicalData[Specific injuries treated],"*"&amp;A23&amp;"*"))))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IF(Dashboard!B4="Weekly",SUMPRODUCT((MONTH(MedicalData[Date])=Dashboard!$N$4)*(YEAR(MedicalData[Date])=Dashboard!$O$4)*(INT((DAY(MedicalData[Date])-1)/7)+1=Dashboard!$M$4)*(MedicalData[History/Mechanism of injury]=A4)*1),IF(Dashboard!B4="Monthly",SUMPRODUCT((MONTH(MedicalData[Date])=Dashboard!$N$4)*(YEAR(MedicalData[Date])=Dashboard!$O$4)*(MedicalData[History/Mechanism of injury]=A4)*1),IF(Dashboard!B4="Quarterly",COUNTIFS(MedicalData[History/Mechanism of injury],A4,MedicalData[Quarter],Dashboard!K4),COUNTIF(MedicalData[History/Mechanism of injury],A4))))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IF(Dashboard!B4="Weekly",SUMPRODUCT((MONTH(MedicalData[Date])=Dashboard!$N$4)*(YEAR(MedicalData[Date])=Dashboard!$O$4)*(INT((DAY(MedicalData[Date])-1)/7)+1=Dashboard!$M$4)*(MedicalData[History/Mechanism of injury]=A5)*1),IF(Dashboard!B4="Monthly",SUMPRODUCT((MONTH(MedicalData[Date])=Dashboard!$N$4)*(YEAR(MedicalData[Date])=Dashboard!$O$4)*(MedicalData[History/Mechanism of injury]=A5)*1),IF(Dashboard!B4="Quarterly",COUNTIFS(MedicalData[History/Mechanism of injury],A5,MedicalData[Quarter],Dashboard!K4),COUNTIF(MedicalData[History/Mechanism of injury],A5))))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IF(Dashboard!B4="Weekly",SUMPRODUCT((MONTH(MedicalData[Date])=Dashboard!$N$4)*(YEAR(MedicalData[Date])=Dashboard!$O$4)*(INT((DAY(MedicalData[Date])-1)/7)+1=Dashboard!$M$4)*(MedicalData[History/Mechanism of injury]=A6)*1),IF(Dashboard!B4="Monthly",SUMPRODUCT((MONTH(MedicalData[Date])=Dashboard!$N$4)*(YEAR(MedicalData[Date])=Dashboard!$O$4)*(MedicalData[History/Mechanism of injury]=A6)*1),IF(Dashboard!B4="Quarterly",COUNTIFS(MedicalData[History/Mechanism of injury],A6,MedicalData[Quarter],Dashboard!K4),COUNTIF(MedicalData[History/Mechanism of injury],A6))))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IF(Dashboard!B4="Weekly",SUMPRODUCT((MONTH(MedicalData[Date])=Dashboard!$N$4)*(YEAR(MedicalData[Date])=Dashboard!$O$4)*(INT((DAY(MedicalData[Date])-1)/7)+1=Dashboard!$M$4)*(MedicalData[History/Mechanism of injury]=A7)*1),IF(Dashboard!B4="Monthly",SUMPRODUCT((MONTH(MedicalData[Date])=Dashboard!$N$4)*(YEAR(MedicalData[Date])=Dashboard!$O$4)*(MedicalData[History/Mechanism of injury]=A7)*1),IF(Dashboard!B4="Quarterly",COUNTIFS(MedicalData[History/Mechanism of injury],A7,MedicalData[Quarter],Dashboard!K4),COUNTIF(MedicalData[History/Mechanism of injury],A7))))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IF(Dashboard!B4="Weekly",SUMPRODUCT((MONTH(MedicalData[Date])=Dashboard!$N$4)*(YEAR(MedicalData[Date])=Dashboard!$O$4)*(INT((DAY(MedicalData[Date])-1)/7)+1=Dashboard!$M$4)*(MedicalData[History/Mechanism of injury]=A8)*1),IF(Dashboard!B4="Monthly",SUMPRODUCT((MONTH(MedicalData[Date])=Dashboard!$N$4)*(YEAR(MedicalData[Date])=Dashboard!$O$4)*(MedicalData[History/Mechanism of injury]=A8)*1),IF(Dashboard!B4="Quarterly",COUNTIFS(MedicalData[History/Mechanism of injury],A8,MedicalData[Quarter],Dashboard!K4),COUNTIF(MedicalData[History/Mechanism of injury],A8))))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IF(Dashboard!B4="Weekly",SUMPRODUCT((MONTH(MedicalData[Date])=Dashboard!$N$4)*(YEAR(MedicalData[Date])=Dashboard!$O$4)*(INT((DAY(MedicalData[Date])-1)/7)+1=Dashboard!$M$4)*(MedicalData[History/Mechanism of injury]=A9)*1),IF(Dashboard!B4="Monthly",SUMPRODUCT((MONTH(MedicalData[Date])=Dashboard!$N$4)*(YEAR(MedicalData[Date])=Dashboard!$O$4)*(MedicalData[History/Mechanism of injury]=A9)*1),IF(Dashboard!B4="Quarterly",COUNTIFS(MedicalData[History/Mechanism of injury],A9,MedicalData[Quarter],Dashboard!K4),COUNTIF(MedicalData[History/Mechanism of injury],A9))))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IF(Dashboard!B4="Weekly",SUMPRODUCT((MONTH(MedicalData[Date])=Dashboard!$N$4)*(YEAR(MedicalData[Date])=Dashboard!$O$4)*(INT((DAY(MedicalData[Date])-1)/7)+1=Dashboard!$M$4)*(MedicalData[History/Mechanism of injury]=A10)*1),IF(Dashboard!B4="Monthly",SUMPRODUCT((MONTH(MedicalData[Date])=Dashboard!$N$4)*(YEAR(MedicalData[Date])=Dashboard!$O$4)*(MedicalData[History/Mechanism of injury]=A10)*1),IF(Dashboard!B4="Quarterly",COUNTIFS(MedicalData[History/Mechanism of injury],A10,MedicalData[Quarter],Dashboard!K4),COUNTIF(MedicalData[History/Mechanism of injury],A10))))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IF(Dashboard!B4="Weekly",SUMPRODUCT((MONTH(MedicalData[Date])=Dashboard!$N$4)*(YEAR(MedicalData[Date])=Dashboard!$O$4)*(INT((DAY(MedicalData[Date])-1)/7)+1=Dashboard!$M$4)*(MedicalData[History/Mechanism of injury]=A11)*1),IF(Dashboard!B4="Monthly",SUMPRODUCT((MONTH(MedicalData[Date])=Dashboard!$N$4)*(YEAR(MedicalData[Date])=Dashboard!$O$4)*(MedicalData[History/Mechanism of injury]=A11)*1),IF(Dashboard!B4="Quarterly",COUNTIFS(MedicalData[History/Mechanism of injury],A11,MedicalData[Quarter],Dashboard!K4),COUNTIF(MedicalData[History/Mechanism of injury],A11))))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IF(Dashboard!B4="Weekly",SUMPRODUCT((MONTH(MedicalData[Date])=Dashboard!$N$4)*(YEAR(MedicalData[Date])=Dashboard!$O$4)*(INT((DAY(MedicalData[Date])-1)/7)+1=Dashboard!$M$4)*(MedicalData[History/Mechanism of injury]=A12)*1),IF(Dashboard!B4="Monthly",SUMPRODUCT((MONTH(MedicalData[Date])=Dashboard!$N$4)*(YEAR(MedicalData[Date])=Dashboard!$O$4)*(MedicalData[History/Mechanism of injury]=A12)*1),IF(Dashboard!B4="Quarterly",COUNTIFS(MedicalData[History/Mechanism of injury],A12,MedicalData[Quarter],Dashboard!K4),COUNTIF(MedicalData[History/Mechanism of injury],A12))))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IF(Dashboard!B4="Weekly",SUMPRODUCT((MONTH(MedicalData[Date])=Dashboard!$N$4)*(YEAR(MedicalData[Date])=Dashboard!$O$4)*(INT((DAY(MedicalData[Date])-1)/7)+1=Dashboard!$M$4)*(MedicalData[History/Mechanism of injury]=A13)*1),IF(Dashboard!B4="Monthly",SUMPRODUCT((MONTH(MedicalData[Date])=Dashboard!$N$4)*(YEAR(MedicalData[Date])=Dashboard!$O$4)*(MedicalData[History/Mechanism of injury]=A13)*1),IF(Dashboard!B4="Quarterly",COUNTIFS(MedicalData[History/Mechanism of injury],A13,MedicalData[Quarter],Dashboard!K4),COUNTIF(MedicalData[History/Mechanism of injury],A13))))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IF(Dashboard!B4="Weekly",SUMPRODUCT((MONTH(MedicalData[Date])=Dashboard!$N$4)*(YEAR(MedicalData[Date])=Dashboard!$O$4)*(INT((DAY(MedicalData[Date])-1)/7)+1=Dashboard!$M$4)*(MedicalData[History/Mechanism of injury]=A14)*1),IF(Dashboard!B4="Monthly",SUMPRODUCT((MONTH(MedicalData[Date])=Dashboard!$N$4)*(YEAR(MedicalData[Date])=Dashboard!$O$4)*(MedicalData[History/Mechanism of injury]=A14)*1),IF(Dashboard!B4="Quarterly",COUNTIFS(MedicalData[History/Mechanism of injury],A14,MedicalData[Quarter],Dashboard!K4),COUNTIF(MedicalData[History/Mechanism of injury],A14))))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IF(Dashboard!B4="Weekly",SUMPRODUCT((MONTH(MedicalData[Date])=Dashboard!$N$4)*(YEAR(MedicalData[Date])=Dashboard!$O$4)*(INT((DAY(MedicalData[Date])-1)/7)+1=Dashboard!$M$4)*(MedicalData[History/Mechanism of injury]=A15)*1),IF(Dashboard!B4="Monthly",SUMPRODUCT((MONTH(MedicalData[Date])=Dashboard!$N$4)*(YEAR(MedicalData[Date])=Dashboard!$O$4)*(MedicalData[History/Mechanism of injury]=A15)*1),IF(Dashboard!B4="Quarterly",COUNTIFS(MedicalData[History/Mechanism of injury],A15,MedicalData[Quarter],Dashboard!K4),COUNTIF(MedicalData[History/Mechanism of injury],A15))))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IF(Dashboard!B4="Weekly",SUMPRODUCT((MONTH(MedicalData[Date])=Dashboard!$N$4)*(YEAR(MedicalData[Date])=Dashboard!$O$4)*(INT((DAY(MedicalData[Date])-1)/7)+1=Dashboard!$M$4)*(MedicalData[History/Mechanism of injury]=A16)*1),IF(Dashboard!B4="Monthly",SUMPRODUCT((MONTH(MedicalData[Date])=Dashboard!$N$4)*(YEAR(MedicalData[Date])=Dashboard!$O$4)*(MedicalData[History/Mechanism of injury]=A16)*1),IF(Dashboard!B4="Quarterly",COUNTIFS(MedicalData[History/Mechanism of injury],A16,MedicalData[Quarter],Dashboard!K4),COUNTIF(MedicalData[History/Mechanism of injury],A16))))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IF(Dashboard!B4="Weekly",SUMPRODUCT((MONTH(MedicalData[Date])=Dashboard!$N$4)*(YEAR(MedicalData[Date])=Dashboard!$O$4)*(INT((DAY(MedicalData[Date])-1)/7)+1=Dashboard!$M$4)*(MedicalData[History/Mechanism of injury]=A17)*1),IF(Dashboard!B4="Monthly",SUMPRODUCT((MONTH(MedicalData[Date])=Dashboard!$N$4)*(YEAR(MedicalData[Date])=Dashboard!$O$4)*(MedicalData[History/Mechanism of injury]=A17)*1),IF(Dashboard!B4="Quarterly",COUNTIFS(MedicalData[History/Mechanism of injury],A17,MedicalData[Quarter],Dashboard!K4),COUNTIF(MedicalData[History/Mechanism of injury],A17))))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IF(Dashboard!B4="Weekly",SUMPRODUCT((MONTH(MedicalData[Date])=Dashboard!$N$4)*(YEAR(MedicalData[Date])=Dashboard!$O$4)*(INT((DAY(MedicalData[Date])-1)/7)+1=Dashboard!$M$4)*(MedicalData[History/Mechanism of injury]=A18)*1),IF(Dashboard!B4="Monthly",SUMPRODUCT((MONTH(MedicalData[Date])=Dashboard!$N$4)*(YEAR(MedicalData[Date])=Dashboard!$O$4)*(MedicalData[History/Mechanism of injury]=A18)*1),IF(Dashboard!B4="Quarterly",COUNTIFS(MedicalData[History/Mechanism of injury],A18,MedicalData[Quarter],Dashboard!K4),COUNTIF(MedicalData[History/Mechanism of injury],A18))))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IF(Dashboard!B4="Weekly",SUMPRODUCT((MONTH(MedicalData[Date])=Dashboard!$N$4)*(YEAR(MedicalData[Date])=Dashboard!$O$4)*(INT((DAY(MedicalData[Date])-1)/7)+1=Dashboard!$M$4)*(MedicalData[History/Mechanism of injury]=A19)*1),IF(Dashboard!B4="Monthly",SUMPRODUCT((MONTH(MedicalData[Date])=Dashboard!$N$4)*(YEAR(MedicalData[Date])=Dashboard!$O$4)*(MedicalData[History/Mechanism of injury]=A19)*1),IF(Dashboard!B4="Quarterly",COUNTIFS(MedicalData[History/Mechanism of injury],A19,MedicalData[Quarter],Dashboard!K4),COUNTIF(MedicalData[History/Mechanism of injury],A19))))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IF(Dashboard!B4="Weekly",SUMPRODUCT((MONTH(MedicalData[Date])=Dashboard!$N$4)*(YEAR(MedicalData[Date])=Dashboard!$O$4)*(INT((DAY(MedicalData[Date])-1)/7)+1=Dashboard!$M$4)*(MedicalData[History/Mechanism of injury]=A20)*1),IF(Dashboard!B4="Monthly",SUMPRODUCT((MONTH(MedicalData[Date])=Dashboard!$N$4)*(YEAR(MedicalData[Date])=Dashboard!$O$4)*(MedicalData[History/Mechanism of injury]=A20)*1),IF(Dashboard!B4="Quarterly",COUNTIFS(MedicalData[History/Mechanism of injury],A20,MedicalData[Quarter],Dashboard!K4),COUNTIF(MedicalData[History/Mechanism of injury],A20))))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IF(Dashboard!B4="Weekly",SUMPRODUCT((MONTH(MedicalData[Date])=Dashboard!$N$4)*(YEAR(MedicalData[Date])=Dashboard!$O$4)*(INT((DAY(MedicalData[Date])-1)/7)+1=Dashboard!$M$4)*(MedicalData[History/Mechanism of injury]=A21)*1),IF(Dashboard!B4="Monthly",SUMPRODUCT((MONTH(MedicalData[Date])=Dashboard!$N$4)*(YEAR(MedicalData[Date])=Dashboard!$O$4)*(MedicalData[History/Mechanism of injury]=A21)*1),IF(Dashboard!B4="Quarterly",COUNTIFS(MedicalData[History/Mechanism of injury],A21,MedicalData[Quarter],Dashboard!K4),COUNTIF(MedicalData[History/Mechanism of injury],A21))))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IF(Dashboard!B4="Weekly",SUMPRODUCT((MONTH(MedicalData[Date])=Dashboard!$N$4)*(YEAR(MedicalData[Date])=Dashboard!$O$4)*(INT((DAY(MedicalData[Date])-1)/7)+1=Dashboard!$M$4)*(MedicalData[History/Mechanism of injury]=A22)*1),IF(Dashboard!B4="Monthly",SUMPRODUCT((MONTH(MedicalData[Date])=Dashboard!$N$4)*(YEAR(MedicalData[Date])=Dashboard!$O$4)*(MedicalData[History/Mechanism of injury]=A22)*1),IF(Dashboard!B4="Quarterly",COUNTIFS(MedicalData[History/Mechanism of injury],A22,MedicalData[Quarter],Dashboard!K4),COUNTIF(MedicalData[History/Mechanism of injury],A22))))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IF(Dashboard!B4="Weekly",SUMPRODUCT((MONTH(MedicalData[Date])=Dashboard!$N$4)*(YEAR(MedicalData[Date])=Dashboard!$O$4)*(INT((DAY(MedicalData[Date])-1)/7)+1=Dashboard!$M$4)*(MedicalData[History/Mechanism of injury]=A23)*1),IF(Dashboard!B4="Monthly",SUMPRODUCT((MONTH(MedicalData[Date])=Dashboard!$N$4)*(YEAR(MedicalData[Date])=Dashboard!$O$4)*(MedicalData[History/Mechanism of injury]=A23)*1),IF(Dashboard!B4="Quarterly",COUNTIFS(MedicalData[History/Mechanism of injury],A23,MedicalData[Quarter],Dashboard!K4),COUNTIF(MedicalData[History/Mechanism of injury],A23))))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IF(Dashboard!B4="Weekly",SUMPRODUCT((MONTH(MedicalData[Date])=Dashboard!$N$4)*(YEAR(MedicalData[Date])=Dashboard!$O$4)*(INT((DAY(MedicalData[Date])-1)/7)+1=Dashboard!$M$4)*(MedicalData[History/Mechanism of injury]=A24)*1),IF(Dashboard!B4="Monthly",SUMPRODUCT((MONTH(MedicalData[Date])=Dashboard!$N$4)*(YEAR(MedicalData[Date])=Dashboard!$O$4)*(MedicalData[History/Mechanism of injury]=A24)*1),IF(Dashboard!B4="Quarterly",COUNTIFS(MedicalData[History/Mechanism of injury],A24,MedicalData[Quarter],Dashboard!K4),COUNTIF(MedicalData[History/Mechanism of injury],A24))))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IF(Dashboard!B4="Weekly",SUMPRODUCT((MONTH(MedicalData[Date])=Dashboard!$N$4)*(YEAR(MedicalData[Date])=Dashboard!$O$4)*(INT((DAY(MedicalData[Date])-1)/7)+1=Dashboard!$M$4)*(MedicalData[Time Period]=A4)*1),IF(Dashboard!B4="Monthly",SUMPRODUCT((MONTH(MedicalData[Date])=Dashboard!$N$4)*(YEAR(MedicalData[Date])=Dashboard!$O$4)*(MedicalData[Time Period]=A4)*1),IF(Dashboard!B4="Quarterly",COUNTIFS(MedicalData[Time Period],A4,MedicalData[Quarter],Dashboard!K4),COUNTIF(MedicalData[Time Period],A4))))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IF(Dashboard!B4="Weekly",SUMPRODUCT((MONTH(MedicalData[Date])=Dashboard!$N$4)*(YEAR(MedicalData[Date])=Dashboard!$O$4)*(INT((DAY(MedicalData[Date])-1)/7)+1=Dashboard!$M$4)*(MedicalData[Time Period]=A5)*1),IF(Dashboard!B4="Monthly",SUMPRODUCT((MONTH(MedicalData[Date])=Dashboard!$N$4)*(YEAR(MedicalData[Date])=Dashboard!$O$4)*(MedicalData[Time Period]=A5)*1),IF(Dashboard!B4="Quarterly",COUNTIFS(MedicalData[Time Period],A5,MedicalData[Quarter],Dashboard!K4),COUNTIF(MedicalData[Time Period],A5))))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IF(Dashboard!B4="Weekly",SUMPRODUCT((MONTH(MedicalData[Date])=Dashboard!$N$4)*(YEAR(MedicalData[Date])=Dashboard!$O$4)*(INT((DAY(MedicalData[Date])-1)/7)+1=Dashboard!$M$4)*(MedicalData[Time Period]=A6)*1),IF(Dashboard!B4="Monthly",SUMPRODUCT((MONTH(MedicalData[Date])=Dashboard!$N$4)*(YEAR(MedicalData[Date])=Dashboard!$O$4)*(MedicalData[Time Period]=A6)*1),IF(Dashboard!B4="Quarterly",COUNTIFS(MedicalData[Time Period],A6,MedicalData[Quarter],Dashboard!K4),COUNTIF(MedicalData[Time Period],A6))))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IF(Dashboard!B4="Weekly",SUMPRODUCT((MONTH(MedicalData[Date])=Dashboard!$N$4)*(YEAR(MedicalData[Date])=Dashboard!$O$4)*(INT((DAY(MedicalData[Date])-1)/7)+1=Dashboard!$M$4)*(MedicalData[Time Period]=A7)*1),IF(Dashboard!B4="Monthly",SUMPRODUCT((MONTH(MedicalData[Date])=Dashboard!$N$4)*(YEAR(MedicalData[Date])=Dashboard!$O$4)*(MedicalData[Time Period]=A7)*1),IF(Dashboard!B4="Quarterly",COUNTIFS(MedicalData[Time Period],A7,MedicalData[Quarter],Dashboard!K4),COUNTIF(MedicalData[Time Period],A7))))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Dashboard!B4="Weekly",SUMPRODUCT((TEXT(MedicalData[Date],"MMM-YY")=Dashboard!E4)*(INT((DAY(MedicalData[Date])-1)/7)+1=VALUE(RIGHT(Dashboard!H4,1)))*(MedicalData[Site]=A6)*1),IF(Dashboard!B4="Monthly",COUNTIFS(MedicalData[Site],A6,MedicalData[Month],Dashboard!E4),IF(Dashboard!B4="Quarterly",COUNTIFS(MedicalData[Site],A6,MedicalData[Quarter],Dashboard!K4),COUNTIF(MedicalData[Site],A6))))</f>
        <v/>
      </c>
      <c r="D6" t="inlineStr">
        <is>
          <t>0-12 years</t>
        </is>
      </c>
      <c r="E6">
        <f>IF(Dashboard!B4="Monthly",COUNTIFS(MedicalData[Age],"&gt;=0",MedicalData[Age],"&lt;=12",MedicalData[Month],Dashboard!E4),IF(Dashboard!B4="Quarterly",COUNTIFS(MedicalData[Age],"&gt;=0",MedicalData[Age],"&lt;=12",MedicalData[Quarter],Dashboard!K4),COUNTIFS(MedicalData[Age],"&gt;=0",MedicalData[Age],"&lt;=12")))</f>
        <v/>
      </c>
    </row>
    <row r="7">
      <c r="A7" t="inlineStr">
        <is>
          <t xml:space="preserve">5 A side </t>
        </is>
      </c>
      <c r="B7">
        <f>IF(Dashboard!B4="Weekly",SUMPRODUCT((TEXT(MedicalData[Date],"MMM-YY")=Dashboard!E4)*(INT((DAY(MedicalData[Date])-1)/7)+1=VALUE(RIGHT(Dashboard!H4,1)))*(MedicalData[Site]=A7)*1),IF(Dashboard!B4="Monthly",COUNTIFS(MedicalData[Site],A7,MedicalData[Month],Dashboard!E4),IF(Dashboard!B4="Quarterly",COUNTIFS(MedicalData[Site],A7,MedicalData[Quarter],Dashboard!K4),COUNTIF(MedicalData[Site],A7))))</f>
        <v/>
      </c>
      <c r="D7" t="inlineStr">
        <is>
          <t>13-17 years</t>
        </is>
      </c>
      <c r="E7">
        <f>IF(Dashboard!B4="Monthly",COUNTIFS(MedicalData[Age],"&gt;=13",MedicalData[Age],"&lt;=17",MedicalData[Month],Dashboard!E4),IF(Dashboard!B4="Quarterly",COUNTIFS(MedicalData[Age],"&gt;=13",MedicalData[Age],"&lt;=17",MedicalData[Quarter],Dashboard!K4),COUNTIFS(MedicalData[Age],"&gt;=13",MedicalData[Age],"&lt;=17")))</f>
        <v/>
      </c>
    </row>
    <row r="8">
      <c r="A8" t="inlineStr">
        <is>
          <t>Basketball</t>
        </is>
      </c>
      <c r="B8">
        <f>IF(Dashboard!B4="Weekly",SUMPRODUCT((TEXT(MedicalData[Date],"MMM-YY")=Dashboard!E4)*(INT((DAY(MedicalData[Date])-1)/7)+1=VALUE(RIGHT(Dashboard!H4,1)))*(MedicalData[Site]=A8)*1),IF(Dashboard!B4="Monthly",COUNTIFS(MedicalData[Site],A8,MedicalData[Month],Dashboard!E4),IF(Dashboard!B4="Quarterly",COUNTIFS(MedicalData[Site],A8,MedicalData[Quarter],Dashboard!K4),COUNTIF(MedicalData[Site],A8))))</f>
        <v/>
      </c>
      <c r="D8" t="inlineStr">
        <is>
          <t>18-25 years</t>
        </is>
      </c>
      <c r="E8">
        <f>IF(Dashboard!B4="Monthly",COUNTIFS(MedicalData[Age],"&gt;=18",MedicalData[Age],"&lt;=25",MedicalData[Month],Dashboard!E4),IF(Dashboard!B4="Quarterly",COUNTIFS(MedicalData[Age],"&gt;=18",MedicalData[Age],"&lt;=25",MedicalData[Quarter],Dashboard!K4),COUNTIFS(MedicalData[Age],"&gt;=18",MedicalData[Age],"&lt;=25")))</f>
        <v/>
      </c>
    </row>
    <row r="9">
      <c r="A9" t="inlineStr">
        <is>
          <t>Outdoor gym</t>
        </is>
      </c>
      <c r="B9">
        <f>IF(Dashboard!B4="Weekly",SUMPRODUCT((TEXT(MedicalData[Date],"MMM-YY")=Dashboard!E4)*(INT((DAY(MedicalData[Date])-1)/7)+1=VALUE(RIGHT(Dashboard!H4,1)))*(MedicalData[Site]=A9)*1),IF(Dashboard!B4="Monthly",COUNTIFS(MedicalData[Site],A9,MedicalData[Month],Dashboard!E4),IF(Dashboard!B4="Quarterly",COUNTIFS(MedicalData[Site],A9,MedicalData[Quarter],Dashboard!K4),COUNTIF(MedicalData[Site],A9))))</f>
        <v/>
      </c>
      <c r="D9" t="inlineStr">
        <is>
          <t>26-35 years</t>
        </is>
      </c>
      <c r="E9">
        <f>IF(Dashboard!B4="Monthly",COUNTIFS(MedicalData[Age],"&gt;=26",MedicalData[Age],"&lt;=35",MedicalData[Month],Dashboard!E4),IF(Dashboard!B4="Quarterly",COUNTIFS(MedicalData[Age],"&gt;=26",MedicalData[Age],"&lt;=35",MedicalData[Quarter],Dashboard!K4),COUNTIFS(MedicalData[Age],"&gt;=26",MedicalData[Age],"&lt;=35")))</f>
        <v/>
      </c>
    </row>
    <row r="10">
      <c r="A10" t="inlineStr">
        <is>
          <t xml:space="preserve">JDI Studio </t>
        </is>
      </c>
      <c r="B10">
        <f>IF(Dashboard!B4="Weekly",SUMPRODUCT((TEXT(MedicalData[Date],"MMM-YY")=Dashboard!E4)*(INT((DAY(MedicalData[Date])-1)/7)+1=VALUE(RIGHT(Dashboard!H4,1)))*(MedicalData[Site]=A10)*1),IF(Dashboard!B4="Monthly",COUNTIFS(MedicalData[Site],A10,MedicalData[Month],Dashboard!E4),IF(Dashboard!B4="Quarterly",COUNTIFS(MedicalData[Site],A10,MedicalData[Quarter],Dashboard!K4),COUNTIF(MedicalData[Site],A10))))</f>
        <v/>
      </c>
      <c r="D10" t="inlineStr">
        <is>
          <t>36+ years</t>
        </is>
      </c>
      <c r="E10">
        <f>IF(Dashboard!B4="Monthly",COUNTIFS(MedicalData[Age],"&gt;=36",MedicalData[Month],Dashboard!E4),IF(Dashboard!B4="Quarterly",COUNTIFS(MedicalData[Age],"&gt;=36",MedicalData[Quarter],Dashboard!K4),COUNTIFS(MedicalData[Age],"&gt;=36")))</f>
        <v/>
      </c>
    </row>
    <row r="11">
      <c r="A11" t="inlineStr">
        <is>
          <t xml:space="preserve">11- A side </t>
        </is>
      </c>
      <c r="B11">
        <f>IF(Dashboard!B4="Weekly",SUMPRODUCT((TEXT(MedicalData[Date],"MMM-YY")=Dashboard!E4)*(INT((DAY(MedicalData[Date])-1)/7)+1=VALUE(RIGHT(Dashboard!H4,1)))*(MedicalData[Site]=A11)*1),IF(Dashboard!B4="Monthly",COUNTIFS(MedicalData[Site],A11,MedicalData[Month],Dashboard!E4),IF(Dashboard!B4="Quarterly",COUNTIFS(MedicalData[Site],A11,MedicalData[Quarter],Dashboard!K4),COUNTIF(MedicalData[Site],A11))))</f>
        <v/>
      </c>
    </row>
    <row r="12">
      <c r="A12" t="inlineStr">
        <is>
          <t>Athletics track</t>
        </is>
      </c>
      <c r="B12">
        <f>IF(Dashboard!B4="Weekly",SUMPRODUCT((TEXT(MedicalData[Date],"MMM-YY")=Dashboard!E4)*(INT((DAY(MedicalData[Date])-1)/7)+1=VALUE(RIGHT(Dashboard!H4,1)))*(MedicalData[Site]=A12)*1),IF(Dashboard!B4="Monthly",COUNTIFS(MedicalData[Site],A12,MedicalData[Month],Dashboard!E4),IF(Dashboard!B4="Quarterly",COUNTIFS(MedicalData[Site],A12,MedicalData[Quarter],Dashboard!K4),COUNTIF(MedicalData[Site],A12))))</f>
        <v/>
      </c>
    </row>
    <row r="13">
      <c r="A13" t="inlineStr">
        <is>
          <t>Change Rooms</t>
        </is>
      </c>
      <c r="B13">
        <f>IF(Dashboard!B4="Weekly",SUMPRODUCT((TEXT(MedicalData[Date],"MMM-YY")=Dashboard!E4)*(INT((DAY(MedicalData[Date])-1)/7)+1=VALUE(RIGHT(Dashboard!H4,1)))*(MedicalData[Site]=A13)*1),IF(Dashboard!B4="Monthly",COUNTIFS(MedicalData[Site],A13,MedicalData[Month],Dashboard!E4),IF(Dashboard!B4="Quarterly",COUNTIFS(MedicalData[Site],A13,MedicalData[Quarter],Dashboard!K4),COUNTIF(MedicalData[Site],A13))))</f>
        <v/>
      </c>
    </row>
    <row r="14">
      <c r="A14" t="inlineStr">
        <is>
          <t>1KM RUN/WALK PATH</t>
        </is>
      </c>
      <c r="B14">
        <f>IF(Dashboard!B4="Weekly",SUMPRODUCT((TEXT(MedicalData[Date],"MMM-YY")=Dashboard!E4)*(INT((DAY(MedicalData[Date])-1)/7)+1=VALUE(RIGHT(Dashboard!H4,1)))*(MedicalData[Site]=A14)*1),IF(Dashboard!B4="Monthly",COUNTIFS(MedicalData[Site],A14,MedicalData[Month],Dashboard!E4),IF(Dashboard!B4="Quarterly",COUNTIFS(MedicalData[Site],A14,MedicalData[Quarter],Dashboard!K4),COUNTIF(MedicalData[Site]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IF(Dashboard!B4="Monthly",COUNTIFS(MedicalData[History/Mechanism of injury],A20,MedicalData[Month],Dashboard!E4),IF(Dashboard!B4="Quarterly",COUNTIFS(MedicalData[History/Mechanism of injury],A20,MedicalData[Quarter],Dashboard!K4),COUNTIF(MedicalData[History/Mechanism of injury],A20)))</f>
        <v/>
      </c>
      <c r="D20" t="inlineStr">
        <is>
          <t>Morning</t>
        </is>
      </c>
      <c r="E20">
        <f>IF(Dashboard!B4="Monthly",COUNTIFS(MedicalData[Time Period],D20,MedicalData[Month],Dashboard!E4),IF(Dashboard!B4="Quarterly",COUNTIFS(MedicalData[Time Period],D20,MedicalData[Quarter],Dashboard!K4),COUNTIF(MedicalData[Time Period],D20)))</f>
        <v/>
      </c>
    </row>
    <row r="21">
      <c r="A21" t="inlineStr">
        <is>
          <t>Slips, Trips and falls</t>
        </is>
      </c>
      <c r="B21">
        <f>IF(Dashboard!B4="Monthly",COUNTIFS(MedicalData[History/Mechanism of injury],A21,MedicalData[Month],Dashboard!E4),IF(Dashboard!B4="Quarterly",COUNTIFS(MedicalData[History/Mechanism of injury],A21,MedicalData[Quarter],Dashboard!K4),COUNTIF(MedicalData[History/Mechanism of injury],A21)))</f>
        <v/>
      </c>
      <c r="D21" t="inlineStr">
        <is>
          <t>Afternoon</t>
        </is>
      </c>
      <c r="E21">
        <f>IF(Dashboard!B4="Monthly",COUNTIFS(MedicalData[Time Period],D21,MedicalData[Month],Dashboard!E4),IF(Dashboard!B4="Quarterly",COUNTIFS(MedicalData[Time Period],D21,MedicalData[Quarter],Dashboard!K4),COUNTIF(MedicalData[Time Period],D21)))</f>
        <v/>
      </c>
    </row>
    <row r="22">
      <c r="A22" t="inlineStr">
        <is>
          <t>Muscle Strains</t>
        </is>
      </c>
      <c r="B22">
        <f>IF(Dashboard!B4="Monthly",COUNTIFS(MedicalData[History/Mechanism of injury],A22,MedicalData[Month],Dashboard!E4),IF(Dashboard!B4="Quarterly",COUNTIFS(MedicalData[History/Mechanism of injury],A22,MedicalData[Quarter],Dashboard!K4),COUNTIF(MedicalData[History/Mechanism of injury],A22)))</f>
        <v/>
      </c>
      <c r="D22" t="inlineStr">
        <is>
          <t>Evening</t>
        </is>
      </c>
      <c r="E22">
        <f>IF(Dashboard!B4="Monthly",COUNTIFS(MedicalData[Time Period],D22,MedicalData[Month],Dashboard!E4),IF(Dashboard!B4="Quarterly",COUNTIFS(MedicalData[Time Period],D22,MedicalData[Quarter],Dashboard!K4),COUNTIF(MedicalData[Time Period],D22)))</f>
        <v/>
      </c>
    </row>
    <row r="23">
      <c r="A23" t="inlineStr">
        <is>
          <t>Struck by Equipment</t>
        </is>
      </c>
      <c r="B23">
        <f>IF(Dashboard!B4="Monthly",COUNTIFS(MedicalData[History/Mechanism of injury],A23,MedicalData[Month],Dashboard!E4),IF(Dashboard!B4="Quarterly",COUNTIFS(MedicalData[History/Mechanism of injury],A23,MedicalData[Quarter],Dashboard!K4),COUNTIF(MedicalData[History/Mechanism of injury],A23)))</f>
        <v/>
      </c>
      <c r="D23" t="inlineStr">
        <is>
          <t>Night</t>
        </is>
      </c>
      <c r="E23">
        <f>IF(Dashboard!B4="Monthly",COUNTIFS(MedicalData[Time Period],D23,MedicalData[Month],Dashboard!E4),IF(Dashboard!B4="Quarterly",COUNTIFS(MedicalData[Time Period],D23,MedicalData[Quarter],Dashboard!K4),COUNTIF(MedicalData[Time Period],D23)))</f>
        <v/>
      </c>
    </row>
    <row r="24">
      <c r="A24" t="inlineStr">
        <is>
          <t>Player-to-Object</t>
        </is>
      </c>
      <c r="B24">
        <f>IF(Dashboard!B4="Monthly",COUNTIFS(MedicalData[History/Mechanism of injury],A24,MedicalData[Month],Dashboard!E4),IF(Dashboard!B4="Quarterly",COUNTIFS(MedicalData[History/Mechanism of injury],A24,MedicalData[Quarter],Dashboard!K4),COUNTIF(MedicalData[History/Mechanism of injury],A24)))</f>
        <v/>
      </c>
    </row>
    <row r="25">
      <c r="A25" t="inlineStr">
        <is>
          <t>Medical</t>
        </is>
      </c>
      <c r="B25">
        <f>IF(Dashboard!B4="Monthly",COUNTIFS(MedicalData[History/Mechanism of injury],A25,MedicalData[Month],Dashboard!E4),IF(Dashboard!B4="Quarterly",COUNTIFS(MedicalData[History/Mechanism of injury],A25,MedicalData[Quarter],Dashboard!K4),COUNTIF(MedicalData[History/Mechanism of injury],A25)))</f>
        <v/>
      </c>
    </row>
    <row r="26">
      <c r="A26" t="inlineStr">
        <is>
          <t>Heat-Related</t>
        </is>
      </c>
      <c r="B26">
        <f>IF(Dashboard!B4="Monthly",COUNTIFS(MedicalData[History/Mechanism of injury],A26,MedicalData[Month],Dashboard!E4),IF(Dashboard!B4="Quarterly",COUNTIFS(MedicalData[History/Mechanism of injury],A26,MedicalData[Quarter],Dashboard!K4),COUNTIF(MedicalData[History/Mechanism of injury],A26)))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2025-12-04T11:15:43Z</dcterms:modified>
  <cp:lastModifiedBy>stephen tapala</cp:lastModifiedBy>
</cp:coreProperties>
</file>