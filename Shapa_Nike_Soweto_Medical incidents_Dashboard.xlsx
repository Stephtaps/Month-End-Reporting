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>
    <definedName name="_xlnm.Print_Area" localSheetId="1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7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</fonts>
  <fills count="1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92" t="n"/>
      <c r="M43" s="92" t="n"/>
      <c r="N43" s="92" t="n"/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92" t="n"/>
      <c r="L59" s="92" t="n"/>
      <c r="M59" s="92" t="n"/>
      <c r="N59" s="92" t="n"/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IF(Dashboard!C5="Weekly",SUMPRODUCT((MONTH('Data Entry'!A2:A356)=Dashboard!Q5)*(YEAR('Data Entry'!A2:A356)=Dashboard!R5)*(INT((DAY('Data Entry'!A2:A356)-1)/7)+1=Dashboard!P5)*('Data Entry'!F2:F356=A6)*1),IF(Dashboard!C5="Monthly",SUMPRODUCT((MONTH('Data Entry'!A2:A356)=Dashboard!Q5)*(YEAR('Data Entry'!A2:A356)=Dashboard!R5)*('Data Entry'!F2:F356=A6)*1),IF(Dashboard!C5="Quarterly",SUMPRODUCT(('Data Entry'!P2:P356=Dashboard!K5)*('Data Entry'!F2:F356=A6)*1),COUNTIF('Data Entry'!F2:F356,A6))))</f>
        <v/>
      </c>
      <c r="D6" t="inlineStr">
        <is>
          <t>0-12 years</t>
        </is>
      </c>
      <c r="E6">
        <f>IF(Dashboard!C5="Weekly",SUMPRODUCT((MONTH('Data Entry'!A2:A356)=Dashboard!Q5)*(YEAR('Data Entry'!A2:A356)=Dashboard!R5)*(INT((DAY('Data Entry'!A2:A356)-1)/7)+1=Dashboard!P5)*('Data Entry'!C2:C356&gt;=0)*('Data Entry'!C2:C356&lt;=12)*1),IF(Dashboard!C5="Monthly",SUMPRODUCT((MONTH('Data Entry'!A2:A356)=Dashboard!Q5)*(YEAR('Data Entry'!A2:A356)=Dashboard!R5)*('Data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IF(Dashboard!C5="Weekly",SUMPRODUCT((MONTH('Data Entry'!A2:A356)=Dashboard!Q5)*(YEAR('Data Entry'!A2:A356)=Dashboard!R5)*(INT((DAY('Data Entry'!A2:A356)-1)/7)+1=Dashboard!P5)*('Data Entry'!F2:F356=A7)*1),IF(Dashboard!C5="Monthly",SUMPRODUCT((MONTH('Data Entry'!A2:A356)=Dashboard!Q5)*(YEAR('Data Entry'!A2:A356)=Dashboard!R5)*('Data Entry'!F2:F356=A7)*1),IF(Dashboard!C5="Quarterly",SUMPRODUCT(('Data Entry'!P2:P356=Dashboard!K5)*('Data Entry'!F2:F356=A7)*1),COUNTIF('Data Entry'!F2:F356,A7))))</f>
        <v/>
      </c>
      <c r="D7" t="inlineStr">
        <is>
          <t>13-17 years</t>
        </is>
      </c>
      <c r="E7">
        <f>IF(Dashboard!C5="Weekly",SUMPRODUCT((MONTH('Data Entry'!A2:A356)=Dashboard!Q5)*(YEAR('Data Entry'!A2:A356)=Dashboard!R5)*(INT((DAY('Data Entry'!A2:A356)-1)/7)+1=Dashboard!P5)*('Data Entry'!C2:C356&gt;=13)*('Data Entry'!C2:C356&lt;=17)*1),IF(Dashboard!C5="Monthly",SUMPRODUCT((MONTH('Data Entry'!A2:A356)=Dashboard!Q5)*(YEAR('Data Entry'!A2:A356)=Dashboard!R5)*('Data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IF(Dashboard!C5="Weekly",SUMPRODUCT((MONTH('Data Entry'!A2:A356)=Dashboard!Q5)*(YEAR('Data Entry'!A2:A356)=Dashboard!R5)*(INT((DAY('Data Entry'!A2:A356)-1)/7)+1=Dashboard!P5)*('Data Entry'!F2:F356=A8)*1),IF(Dashboard!C5="Monthly",SUMPRODUCT((MONTH('Data Entry'!A2:A356)=Dashboard!Q5)*(YEAR('Data Entry'!A2:A356)=Dashboard!R5)*('Data Entry'!F2:F356=A8)*1),IF(Dashboard!C5="Quarterly",SUMPRODUCT(('Data Entry'!P2:P356=Dashboard!K5)*('Data Entry'!F2:F356=A8)*1),COUNTIF('Data Entry'!F2:F356,A8))))</f>
        <v/>
      </c>
      <c r="D8" t="inlineStr">
        <is>
          <t>18-25 years</t>
        </is>
      </c>
      <c r="E8">
        <f>IF(Dashboard!C5="Weekly",SUMPRODUCT((MONTH('Data Entry'!A2:A356)=Dashboard!Q5)*(YEAR('Data Entry'!A2:A356)=Dashboard!R5)*(INT((DAY('Data Entry'!A2:A356)-1)/7)+1=Dashboard!P5)*('Data Entry'!C2:C356&gt;=18)*('Data Entry'!C2:C356&lt;=25)*1),IF(Dashboard!C5="Monthly",SUMPRODUCT((MONTH('Data Entry'!A2:A356)=Dashboard!Q5)*(YEAR('Data Entry'!A2:A356)=Dashboard!R5)*('Data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IF(Dashboard!C5="Weekly",SUMPRODUCT((MONTH('Data Entry'!A2:A356)=Dashboard!Q5)*(YEAR('Data Entry'!A2:A356)=Dashboard!R5)*(INT((DAY('Data Entry'!A2:A356)-1)/7)+1=Dashboard!P5)*('Data Entry'!F2:F356=A9)*1),IF(Dashboard!C5="Monthly",SUMPRODUCT((MONTH('Data Entry'!A2:A356)=Dashboard!Q5)*(YEAR('Data Entry'!A2:A356)=Dashboard!R5)*('Data Entry'!F2:F356=A9)*1),IF(Dashboard!C5="Quarterly",SUMPRODUCT(('Data Entry'!P2:P356=Dashboard!K5)*('Data Entry'!F2:F356=A9)*1),COUNTIF('Data Entry'!F2:F356,A9))))</f>
        <v/>
      </c>
      <c r="D9" t="inlineStr">
        <is>
          <t>26-35 years</t>
        </is>
      </c>
      <c r="E9">
        <f>IF(Dashboard!C5="Weekly",SUMPRODUCT((MONTH('Data Entry'!A2:A356)=Dashboard!Q5)*(YEAR('Data Entry'!A2:A356)=Dashboard!R5)*(INT((DAY('Data Entry'!A2:A356)-1)/7)+1=Dashboard!P5)*('Data Entry'!C2:C356&gt;=26)*('Data Entry'!C2:C356&lt;=35)*1),IF(Dashboard!C5="Monthly",SUMPRODUCT((MONTH('Data Entry'!A2:A356)=Dashboard!Q5)*(YEAR('Data Entry'!A2:A356)=Dashboard!R5)*('Data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IF(Dashboard!C5="Weekly",SUMPRODUCT((MONTH('Data Entry'!A2:A356)=Dashboard!Q5)*(YEAR('Data Entry'!A2:A356)=Dashboard!R5)*(INT((DAY('Data Entry'!A2:A356)-1)/7)+1=Dashboard!P5)*('Data Entry'!F2:F356=A10)*1),IF(Dashboard!C5="Monthly",SUMPRODUCT((MONTH('Data Entry'!A2:A356)=Dashboard!Q5)*(YEAR('Data Entry'!A2:A356)=Dashboard!R5)*('Data Entry'!F2:F356=A10)*1),IF(Dashboard!C5="Quarterly",SUMPRODUCT(('Data Entry'!P2:P356=Dashboard!K5)*('Data Entry'!F2:F356=A10)*1),COUNTIF('Data Entry'!F2:F356,A10))))</f>
        <v/>
      </c>
      <c r="D10" t="inlineStr">
        <is>
          <t>36+ years</t>
        </is>
      </c>
      <c r="E10">
        <f>IF(Dashboard!C5="Weekly",SUMPRODUCT((MONTH('Data Entry'!A2:A356)=Dashboard!Q5)*(YEAR('Data Entry'!A2:A356)=Dashboard!R5)*(INT((DAY('Data Entry'!A2:A356)-1)/7)+1=Dashboard!P5)*('Data Entry'!C2:C356&gt;=36)*1),IF(Dashboard!C5="Monthly",SUMPRODUCT((MONTH('Data Entry'!A2:A356)=Dashboard!Q5)*(YEAR('Data Entry'!A2:A356)=Dashboard!R5)*('Data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IF(Dashboard!C5="Weekly",SUMPRODUCT((MONTH('Data Entry'!A2:A356)=Dashboard!Q5)*(YEAR('Data Entry'!A2:A356)=Dashboard!R5)*(INT((DAY('Data Entry'!A2:A356)-1)/7)+1=Dashboard!P5)*('Data Entry'!F2:F356=A11)*1),IF(Dashboard!C5="Monthly",SUMPRODUCT((MONTH('Data Entry'!A2:A356)=Dashboard!Q5)*(YEAR('Data Entry'!A2:A356)=Dashboard!R5)*('Data Entry'!F2:F356=A11)*1),IF(Dashboard!C5="Quarterly",SUMPRODUCT(('Data Entry'!P2:P356=Dashboard!K5)*('Data Entry'!F2:F356=A11)*1),COUNTIF('Data Entry'!F2:F356,A11))))</f>
        <v/>
      </c>
    </row>
    <row r="12">
      <c r="A12" t="inlineStr">
        <is>
          <t>Athletics track</t>
        </is>
      </c>
      <c r="B12">
        <f>IF(Dashboard!C5="Weekly",SUMPRODUCT((MONTH('Data Entry'!A2:A356)=Dashboard!Q5)*(YEAR('Data Entry'!A2:A356)=Dashboard!R5)*(INT((DAY('Data Entry'!A2:A356)-1)/7)+1=Dashboard!P5)*('Data Entry'!F2:F356=A12)*1),IF(Dashboard!C5="Monthly",SUMPRODUCT((MONTH('Data Entry'!A2:A356)=Dashboard!Q5)*(YEAR('Data Entry'!A2:A356)=Dashboard!R5)*('Data Entry'!F2:F356=A12)*1),IF(Dashboard!C5="Quarterly",SUMPRODUCT(('Data Entry'!P2:P356=Dashboard!K5)*('Data Entry'!F2:F356=A12)*1),COUNTIF('Data Entry'!F2:F356,A12))))</f>
        <v/>
      </c>
    </row>
    <row r="13">
      <c r="A13" t="inlineStr">
        <is>
          <t>Change Rooms</t>
        </is>
      </c>
      <c r="B13">
        <f>IF(Dashboard!C5="Weekly",SUMPRODUCT((MONTH('Data Entry'!A2:A356)=Dashboard!Q5)*(YEAR('Data Entry'!A2:A356)=Dashboard!R5)*(INT((DAY('Data Entry'!A2:A356)-1)/7)+1=Dashboard!P5)*('Data Entry'!F2:F356=A13)*1),IF(Dashboard!C5="Monthly",SUMPRODUCT((MONTH('Data Entry'!A2:A356)=Dashboard!Q5)*(YEAR('Data Entry'!A2:A356)=Dashboard!R5)*('Data Entry'!F2:F356=A13)*1),IF(Dashboard!C5="Quarterly",SUMPRODUCT(('Data Entry'!P2:P356=Dashboard!K5)*('Data Entry'!F2:F356=A13)*1),COUNTIF('Data Entry'!F2:F356,A13))))</f>
        <v/>
      </c>
    </row>
    <row r="14">
      <c r="A14" t="inlineStr">
        <is>
          <t>1KM RUN/WALK PATH</t>
        </is>
      </c>
      <c r="B14">
        <f>IF(Dashboard!C5="Weekly",SUMPRODUCT((MONTH('Data Entry'!A2:A356)=Dashboard!Q5)*(YEAR('Data Entry'!A2:A356)=Dashboard!R5)*(INT((DAY('Data Entry'!A2:A356)-1)/7)+1=Dashboard!P5)*('Data Entry'!F2:F356=A14)*1),IF(Dashboard!C5="Monthly",SUMPRODUCT((MONTH('Data Entry'!A2:A356)=Dashboard!Q5)*(YEAR('Data Entry'!A2:A356)=Dashboard!R5)*('Data Entry'!F2:F356=A14)*1),IF(Dashboard!C5="Quarterly",SUMPRODUCT(('Data Entry'!P2:P356=Dashboard!K5)*('Data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IF(Dashboard!C5="Weekly",SUMPRODUCT((MONTH('Data Entry'!A2:A356)=Dashboard!Q5)*(YEAR('Data Entry'!A2:A356)=Dashboard!R5)*(INT((DAY('Data Entry'!A2:A356)-1)/7)+1=Dashboard!P5)*('Data Entry'!D2:D356=A20)*1),IF(Dashboard!C5="Monthly",SUMPRODUCT((MONTH('Data Entry'!A2:A356)=Dashboard!Q5)*(YEAR('Data Entry'!A2:A356)=Dashboard!R5)*('Data Entry'!D2:D356=A20)*1),IF(Dashboard!C5="Quarterly",SUMPRODUCT(('Data Entry'!P2:P356=Dashboard!K5)*('Data Entry'!D2:D356=A20)*1),COUNTIF('Data Entry'!D2:D356,A20))))</f>
        <v/>
      </c>
      <c r="D20" t="inlineStr">
        <is>
          <t>Morning</t>
        </is>
      </c>
      <c r="E20">
        <f>IF(Dashboard!C5="Weekly",SUMPRODUCT((MONTH('Data Entry'!A2:A356)=Dashboard!Q5)*(YEAR('Data Entry'!A2:A356)=Dashboard!R5)*(INT((DAY('Data Entry'!A2:A356)-1)/7)+1=Dashboard!P5)*('Data Entry'!M2:M356=D20)*1),IF(Dashboard!C5="Monthly",SUMPRODUCT((MONTH('Data Entry'!A2:A356)=Dashboard!Q5)*(YEAR('Data Entry'!A2:A356)=Dashboard!R5)*('Data Entry'!M2:M356=D20)*1),IF(Dashboard!C5="Quarterly",SUMPRODUCT(('Data Entry'!P2:P356=Dashboard!K5)*('Data Entry'!M2:M356=D20)*1),COUNTIF('Data Entry'!M2:M356,D20))))</f>
        <v/>
      </c>
    </row>
    <row r="21">
      <c r="A21" t="inlineStr">
        <is>
          <t>Slips, Trips and falls</t>
        </is>
      </c>
      <c r="B21">
        <f>IF(Dashboard!C5="Weekly",SUMPRODUCT((MONTH('Data Entry'!A2:A356)=Dashboard!Q5)*(YEAR('Data Entry'!A2:A356)=Dashboard!R5)*(INT((DAY('Data Entry'!A2:A356)-1)/7)+1=Dashboard!P5)*('Data Entry'!D2:D356=A21)*1),IF(Dashboard!C5="Monthly",SUMPRODUCT((MONTH('Data Entry'!A2:A356)=Dashboard!Q5)*(YEAR('Data Entry'!A2:A356)=Dashboard!R5)*('Data Entry'!D2:D356=A21)*1),IF(Dashboard!C5="Quarterly",SUMPRODUCT(('Data Entry'!P2:P356=Dashboard!K5)*('Data Entry'!D2:D356=A21)*1),COUNTIF('Data Entry'!D2:D356,A21))))</f>
        <v/>
      </c>
      <c r="D21" t="inlineStr">
        <is>
          <t>Afternoon</t>
        </is>
      </c>
      <c r="E21">
        <f>IF(Dashboard!C5="Weekly",SUMPRODUCT((MONTH('Data Entry'!A2:A356)=Dashboard!Q5)*(YEAR('Data Entry'!A2:A356)=Dashboard!R5)*(INT((DAY('Data Entry'!A2:A356)-1)/7)+1=Dashboard!P5)*('Data Entry'!M2:M356=D21)*1),IF(Dashboard!C5="Monthly",SUMPRODUCT((MONTH('Data Entry'!A2:A356)=Dashboard!Q5)*(YEAR('Data Entry'!A2:A356)=Dashboard!R5)*('Data Entry'!M2:M356=D21)*1),IF(Dashboard!C5="Quarterly",SUMPRODUCT(('Data Entry'!P2:P356=Dashboard!K5)*('Data Entry'!M2:M356=D21)*1),COUNTIF('Data Entry'!M2:M356,D21))))</f>
        <v/>
      </c>
    </row>
    <row r="22">
      <c r="A22" t="inlineStr">
        <is>
          <t>Muscle Strains</t>
        </is>
      </c>
      <c r="B22">
        <f>IF(Dashboard!C5="Weekly",SUMPRODUCT((MONTH('Data Entry'!A2:A356)=Dashboard!Q5)*(YEAR('Data Entry'!A2:A356)=Dashboard!R5)*(INT((DAY('Data Entry'!A2:A356)-1)/7)+1=Dashboard!P5)*('Data Entry'!D2:D356=A22)*1),IF(Dashboard!C5="Monthly",SUMPRODUCT((MONTH('Data Entry'!A2:A356)=Dashboard!Q5)*(YEAR('Data Entry'!A2:A356)=Dashboard!R5)*('Data Entry'!D2:D356=A22)*1),IF(Dashboard!C5="Quarterly",SUMPRODUCT(('Data Entry'!P2:P356=Dashboard!K5)*('Data Entry'!D2:D356=A22)*1),COUNTIF('Data Entry'!D2:D356,A22))))</f>
        <v/>
      </c>
      <c r="D22" t="inlineStr">
        <is>
          <t>Evening</t>
        </is>
      </c>
      <c r="E22">
        <f>IF(Dashboard!C5="Weekly",SUMPRODUCT((MONTH('Data Entry'!A2:A356)=Dashboard!Q5)*(YEAR('Data Entry'!A2:A356)=Dashboard!R5)*(INT((DAY('Data Entry'!A2:A356)-1)/7)+1=Dashboard!P5)*('Data Entry'!M2:M356=D22)*1),IF(Dashboard!C5="Monthly",SUMPRODUCT((MONTH('Data Entry'!A2:A356)=Dashboard!Q5)*(YEAR('Data Entry'!A2:A356)=Dashboard!R5)*('Data Entry'!M2:M356=D22)*1),IF(Dashboard!C5="Quarterly",SUMPRODUCT(('Data Entry'!P2:P356=Dashboard!K5)*('Data Entry'!M2:M356=D22)*1),COUNTIF('Data Entry'!M2:M356,D22))))</f>
        <v/>
      </c>
    </row>
    <row r="23">
      <c r="A23" t="inlineStr">
        <is>
          <t>Struck by Equipment</t>
        </is>
      </c>
      <c r="B23">
        <f>IF(Dashboard!C5="Weekly",SUMPRODUCT((MONTH('Data Entry'!A2:A356)=Dashboard!Q5)*(YEAR('Data Entry'!A2:A356)=Dashboard!R5)*(INT((DAY('Data Entry'!A2:A356)-1)/7)+1=Dashboard!P5)*('Data Entry'!D2:D356=A23)*1),IF(Dashboard!C5="Monthly",SUMPRODUCT((MONTH('Data Entry'!A2:A356)=Dashboard!Q5)*(YEAR('Data Entry'!A2:A356)=Dashboard!R5)*('Data Entry'!D2:D356=A23)*1),IF(Dashboard!C5="Quarterly",SUMPRODUCT(('Data Entry'!P2:P356=Dashboard!K5)*('Data Entry'!D2:D356=A23)*1),COUNTIF('Data Entry'!D2:D356,A23))))</f>
        <v/>
      </c>
      <c r="D23" t="inlineStr">
        <is>
          <t>Night</t>
        </is>
      </c>
      <c r="E23">
        <f>IF(Dashboard!C5="Weekly",SUMPRODUCT((MONTH('Data Entry'!A2:A356)=Dashboard!Q5)*(YEAR('Data Entry'!A2:A356)=Dashboard!R5)*(INT((DAY('Data Entry'!A2:A356)-1)/7)+1=Dashboard!P5)*('Data Entry'!M2:M356=D23)*1),IF(Dashboard!C5="Monthly",SUMPRODUCT((MONTH('Data Entry'!A2:A356)=Dashboard!Q5)*(YEAR('Data Entry'!A2:A356)=Dashboard!R5)*('Data Entry'!M2:M356=D23)*1),IF(Dashboard!C5="Quarterly",SUMPRODUCT(('Data Entry'!P2:P356=Dashboard!K5)*('Data Entry'!M2:M356=D23)*1),COUNTIF('Data Entry'!M2:M356,D23))))</f>
        <v/>
      </c>
    </row>
    <row r="24">
      <c r="A24" t="inlineStr">
        <is>
          <t>Player-to-Object</t>
        </is>
      </c>
      <c r="B24">
        <f>IF(Dashboard!C5="Weekly",SUMPRODUCT((MONTH('Data Entry'!A2:A356)=Dashboard!Q5)*(YEAR('Data Entry'!A2:A356)=Dashboard!R5)*(INT((DAY('Data Entry'!A2:A356)-1)/7)+1=Dashboard!P5)*('Data Entry'!D2:D356=A24)*1),IF(Dashboard!C5="Monthly",SUMPRODUCT((MONTH('Data Entry'!A2:A356)=Dashboard!Q5)*(YEAR('Data Entry'!A2:A356)=Dashboard!R5)*('Data Entry'!D2:D356=A24)*1),IF(Dashboard!C5="Quarterly",SUMPRODUCT(('Data Entry'!P2:P356=Dashboard!K5)*('Data Entry'!D2:D356=A24)*1),COUNTIF('Data Entry'!D2:D356,A24))))</f>
        <v/>
      </c>
    </row>
    <row r="25">
      <c r="A25" t="inlineStr">
        <is>
          <t>Medical</t>
        </is>
      </c>
      <c r="B25">
        <f>IF(Dashboard!C5="Weekly",SUMPRODUCT((MONTH('Data Entry'!A2:A356)=Dashboard!Q5)*(YEAR('Data Entry'!A2:A356)=Dashboard!R5)*(INT((DAY('Data Entry'!A2:A356)-1)/7)+1=Dashboard!P5)*('Data Entry'!D2:D356=A25)*1),IF(Dashboard!C5="Monthly",SUMPRODUCT((MONTH('Data Entry'!A2:A356)=Dashboard!Q5)*(YEAR('Data Entry'!A2:A356)=Dashboard!R5)*('Data Entry'!D2:D356=A25)*1),IF(Dashboard!C5="Quarterly",SUMPRODUCT(('Data Entry'!P2:P356=Dashboard!K5)*('Data Entry'!D2:D356=A25)*1),COUNTIF('Data Entry'!D2:D356,A25))))</f>
        <v/>
      </c>
    </row>
    <row r="26">
      <c r="A26" t="inlineStr">
        <is>
          <t>Heat-Related</t>
        </is>
      </c>
      <c r="B26">
        <f>IF(Dashboard!C5="Weekly",SUMPRODUCT((MONTH('Data Entry'!A2:A356)=Dashboard!Q5)*(YEAR('Data Entry'!A2:A356)=Dashboard!R5)*(INT((DAY('Data Entry'!A2:A356)-1)/7)+1=Dashboard!P5)*('Data Entry'!D2:D356=A26)*1),IF(Dashboard!C5="Monthly",SUMPRODUCT((MONTH('Data Entry'!A2:A356)=Dashboard!Q5)*(YEAR('Data Entry'!A2:A356)=Dashboard!R5)*('Data Entry'!D2:D356=A26)*1),IF(Dashboard!C5="Quarterly",SUMPRODUCT(('Data Entry'!P2:P356=Dashboard!K5)*('Data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IF(Dashboard!C5="Weekly",SUMPRODUCT((MONTH('Data Entry'!A2:A356)=Dashboard!Q5)*(YEAR('Data Entry'!A2:A356)=Dashboard!R5)*(INT((DAY('Data Entry'!A2:A356)-1)/7)+1=Dashboard!P5)*('Data Entry'!I2:I356=G32)*1),IF(Dashboard!C5="Monthly",SUMPRODUCT((MONTH('Data Entry'!A2:A356)=Dashboard!Q5)*(YEAR('Data Entry'!A2:A356)=Dashboard!R5)*('Data Entry'!I2:I356=G32)*1),IF(Dashboard!C5="Quarterly",SUMPRODUCT(('Data Entry'!P2:P356=Dashboard!K5)*('Data Entry'!I2:I356=G32)*1),COUNTIF('Data Entry'!I2:I356,G32))))</f>
        <v/>
      </c>
      <c r="J32" s="63" t="inlineStr">
        <is>
          <t>Open Play</t>
        </is>
      </c>
      <c r="K32" s="63">
        <f>IF(Dashboard!C5="Weekly",SUMPRODUCT((MONTH('Data Entry'!A2:A356)=Dashboard!Q5)*(YEAR('Data Entry'!A2:A356)=Dashboard!R5)*(INT((DAY('Data Entry'!A2:A356)-1)/7)+1=Dashboard!P5)*(TRIM('Data Entry'!G2:G356)=J32)*1),IF(Dashboard!C5="Monthly",SUMPRODUCT((MONTH('Data Entry'!A2:A356)=Dashboard!Q5)*(YEAR('Data Entry'!A2:A356)=Dashboard!R5)*(TRIM('Data Entry'!G2:G356)=J32)*1),IF(Dashboard!C5="Quarterly",SUMPRODUCT(('Data Entry'!P2:P356=Dashboard!K5)*(TRIM('Data Entry'!G2:G356)=J32)*1),SUMPRODUCT((TRIM('Data Entry'!G2:G356)=J32)*1))))</f>
        <v/>
      </c>
      <c r="M32" s="63" t="inlineStr">
        <is>
          <t>Monday</t>
        </is>
      </c>
      <c r="N32" s="63">
        <f>IF(Dashboard!C5="Weekly",SUMPRODUCT((MONTH('Data Entry'!A2:A356)=Dashboard!Q5)*(YEAR('Data Entry'!A2:A356)=Dashboard!R5)*(INT((DAY('Data Entry'!A2:A356)-1)/7)+1=Dashboard!P5)*(WEEKDAY('Data Entry'!A2:A356)=2)*1),IF(Dashboard!C5="Monthly",SUMPRODUCT((MONTH('Data Entry'!A2:A356)=Dashboard!Q5)*(YEAR('Data Entry'!A2:A356)=Dashboard!R5)*(WEEKDAY('Data Entry'!A2:A356)=2)*1),IF(Dashboard!C5="Quarterly",SUMPRODUCT(('Data Entry'!P2:P356=Dashboard!K5)*(WEEKDAY('Data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IF(Dashboard!C5="Weekly",SUMPRODUCT((MONTH('Data Entry'!A2:A356)=Dashboard!Q5)*(YEAR('Data Entry'!A2:A356)=Dashboard!R5)*(INT((DAY('Data Entry'!A2:A356)-1)/7)+1=Dashboard!P5)*('Data Entry'!I2:I356=G33)*1),IF(Dashboard!C5="Monthly",SUMPRODUCT((MONTH('Data Entry'!A2:A356)=Dashboard!Q5)*(YEAR('Data Entry'!A2:A356)=Dashboard!R5)*('Data Entry'!I2:I356=G33)*1),IF(Dashboard!C5="Quarterly",SUMPRODUCT(('Data Entry'!P2:P356=Dashboard!K5)*('Data Entry'!I2:I356=G33)*1),COUNTIF('Data Entry'!I2:I356,G33))))</f>
        <v/>
      </c>
      <c r="J33" s="63" t="inlineStr">
        <is>
          <t>Training</t>
        </is>
      </c>
      <c r="K33" s="63">
        <f>IF(Dashboard!C5="Weekly",SUMPRODUCT((MONTH('Data Entry'!A2:A356)=Dashboard!Q5)*(YEAR('Data Entry'!A2:A356)=Dashboard!R5)*(INT((DAY('Data Entry'!A2:A356)-1)/7)+1=Dashboard!P5)*(TRIM('Data Entry'!G2:G356)=J33)*1),IF(Dashboard!C5="Monthly",SUMPRODUCT((MONTH('Data Entry'!A2:A356)=Dashboard!Q5)*(YEAR('Data Entry'!A2:A356)=Dashboard!R5)*(TRIM('Data Entry'!G2:G356)=J33)*1),IF(Dashboard!C5="Quarterly",SUMPRODUCT(('Data Entry'!P2:P356=Dashboard!K5)*(TRIM('Data Entry'!G2:G356)=J33)*1),SUMPRODUCT((TRIM('Data Entry'!G2:G356)=J33)*1))))</f>
        <v/>
      </c>
      <c r="M33" s="63" t="inlineStr">
        <is>
          <t>Tuesday</t>
        </is>
      </c>
      <c r="N33" s="63">
        <f>IF(Dashboard!C5="Weekly",SUMPRODUCT((MONTH('Data Entry'!A2:A356)=Dashboard!Q5)*(YEAR('Data Entry'!A2:A356)=Dashboard!R5)*(INT((DAY('Data Entry'!A2:A356)-1)/7)+1=Dashboard!P5)*(WEEKDAY('Data Entry'!A2:A356)=3)*1),IF(Dashboard!C5="Monthly",SUMPRODUCT((MONTH('Data Entry'!A2:A356)=Dashboard!Q5)*(YEAR('Data Entry'!A2:A356)=Dashboard!R5)*(WEEKDAY('Data Entry'!A2:A356)=3)*1),IF(Dashboard!C5="Quarterly",SUMPRODUCT(('Data Entry'!P2:P356=Dashboard!K5)*(WEEKDAY('Data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IF(Dashboard!C5="Weekly",SUMPRODUCT((MONTH('Data Entry'!A2:A356)=Dashboard!Q5)*(YEAR('Data Entry'!A2:A356)=Dashboard!R5)*(INT((DAY('Data Entry'!A2:A356)-1)/7)+1=Dashboard!P5)*('Data Entry'!I2:I356=G34)*1),IF(Dashboard!C5="Monthly",SUMPRODUCT((MONTH('Data Entry'!A2:A356)=Dashboard!Q5)*(YEAR('Data Entry'!A2:A356)=Dashboard!R5)*('Data Entry'!I2:I356=G34)*1),IF(Dashboard!C5="Quarterly",SUMPRODUCT(('Data Entry'!P2:P356=Dashboard!K5)*('Data Entry'!I2:I356=G34)*1),COUNTIF('Data Entry'!I2:I356,G34))))</f>
        <v/>
      </c>
      <c r="J34" s="63" t="inlineStr">
        <is>
          <t>Afternoon Program</t>
        </is>
      </c>
      <c r="K34" s="63">
        <f>IF(Dashboard!C5="Weekly",SUMPRODUCT((MONTH('Data Entry'!A2:A356)=Dashboard!Q5)*(YEAR('Data Entry'!A2:A356)=Dashboard!R5)*(INT((DAY('Data Entry'!A2:A356)-1)/7)+1=Dashboard!P5)*(TRIM('Data Entry'!G2:G356)=J34)*1),IF(Dashboard!C5="Monthly",SUMPRODUCT((MONTH('Data Entry'!A2:A356)=Dashboard!Q5)*(YEAR('Data Entry'!A2:A356)=Dashboard!R5)*(TRIM('Data Entry'!G2:G356)=J34)*1),IF(Dashboard!C5="Quarterly",SUMPRODUCT(('Data Entry'!P2:P356=Dashboard!K5)*(TRIM('Data Entry'!G2:G356)=J34)*1),SUMPRODUCT((TRIM('Data Entry'!G2:G356)=J34)*1))))</f>
        <v/>
      </c>
      <c r="M34" s="63" t="inlineStr">
        <is>
          <t>Wednesday</t>
        </is>
      </c>
      <c r="N34" s="63">
        <f>IF(Dashboard!C5="Weekly",SUMPRODUCT((MONTH('Data Entry'!A2:A356)=Dashboard!Q5)*(YEAR('Data Entry'!A2:A356)=Dashboard!R5)*(INT((DAY('Data Entry'!A2:A356)-1)/7)+1=Dashboard!P5)*(WEEKDAY('Data Entry'!A2:A356)=4)*1),IF(Dashboard!C5="Monthly",SUMPRODUCT((MONTH('Data Entry'!A2:A356)=Dashboard!Q5)*(YEAR('Data Entry'!A2:A356)=Dashboard!R5)*(WEEKDAY('Data Entry'!A2:A356)=4)*1),IF(Dashboard!C5="Quarterly",SUMPRODUCT(('Data Entry'!P2:P356=Dashboard!K5)*(WEEKDAY('Data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IF(Dashboard!C5="Weekly",SUMPRODUCT((MONTH('Data Entry'!A2:A356)=Dashboard!Q5)*(YEAR('Data Entry'!A2:A356)=Dashboard!R5)*(INT((DAY('Data Entry'!A2:A356)-1)/7)+1=Dashboard!P5)*('Data Entry'!I2:I356=G35)*1),IF(Dashboard!C5="Monthly",SUMPRODUCT((MONTH('Data Entry'!A2:A356)=Dashboard!Q5)*(YEAR('Data Entry'!A2:A356)=Dashboard!R5)*('Data Entry'!I2:I356=G35)*1),IF(Dashboard!C5="Quarterly",SUMPRODUCT(('Data Entry'!P2:P356=Dashboard!K5)*('Data Entry'!I2:I356=G35)*1),COUNTIF('Data Entry'!I2:I356,G35))))</f>
        <v/>
      </c>
      <c r="J35" s="63" t="inlineStr">
        <is>
          <t>Girl Skate</t>
        </is>
      </c>
      <c r="K35" s="63">
        <f>IF(Dashboard!C5="Weekly",SUMPRODUCT((MONTH('Data Entry'!A2:A356)=Dashboard!Q5)*(YEAR('Data Entry'!A2:A356)=Dashboard!R5)*(INT((DAY('Data Entry'!A2:A356)-1)/7)+1=Dashboard!P5)*(TRIM('Data Entry'!G2:G356)=J35)*1),IF(Dashboard!C5="Monthly",SUMPRODUCT((MONTH('Data Entry'!A2:A356)=Dashboard!Q5)*(YEAR('Data Entry'!A2:A356)=Dashboard!R5)*(TRIM('Data Entry'!G2:G356)=J35)*1),IF(Dashboard!C5="Quarterly",SUMPRODUCT(('Data Entry'!P2:P356=Dashboard!K5)*(TRIM('Data Entry'!G2:G356)=J35)*1),SUMPRODUCT((TRIM('Data Entry'!G2:G356)=J35)*1))))</f>
        <v/>
      </c>
      <c r="M35" s="63" t="inlineStr">
        <is>
          <t>Thursday</t>
        </is>
      </c>
      <c r="N35" s="63">
        <f>IF(Dashboard!C5="Weekly",SUMPRODUCT((MONTH('Data Entry'!A2:A356)=Dashboard!Q5)*(YEAR('Data Entry'!A2:A356)=Dashboard!R5)*(INT((DAY('Data Entry'!A2:A356)-1)/7)+1=Dashboard!P5)*(WEEKDAY('Data Entry'!A2:A356)=5)*1),IF(Dashboard!C5="Monthly",SUMPRODUCT((MONTH('Data Entry'!A2:A356)=Dashboard!Q5)*(YEAR('Data Entry'!A2:A356)=Dashboard!R5)*(WEEKDAY('Data Entry'!A2:A356)=5)*1),IF(Dashboard!C5="Quarterly",SUMPRODUCT(('Data Entry'!P2:P356=Dashboard!K5)*(WEEKDAY('Data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IF(Dashboard!C5="Weekly",SUMPRODUCT((MONTH('Data Entry'!A2:A356)=Dashboard!Q5)*(YEAR('Data Entry'!A2:A356)=Dashboard!R5)*(INT((DAY('Data Entry'!A2:A356)-1)/7)+1=Dashboard!P5)*(TRIM('Data Entry'!G2:G356)=J36)*1),IF(Dashboard!C5="Monthly",SUMPRODUCT((MONTH('Data Entry'!A2:A356)=Dashboard!Q5)*(YEAR('Data Entry'!A2:A356)=Dashboard!R5)*(TRIM('Data Entry'!G2:G356)=J36)*1),IF(Dashboard!C5="Quarterly",SUMPRODUCT(('Data Entry'!P2:P356=Dashboard!K5)*(TRIM('Data Entry'!G2:G356)=J36)*1),SUMPRODUCT((TRIM('Data Entry'!G2:G356)=J36)*1))))</f>
        <v/>
      </c>
      <c r="M36" s="63" t="inlineStr">
        <is>
          <t>Friday</t>
        </is>
      </c>
      <c r="N36" s="63">
        <f>IF(Dashboard!C5="Weekly",SUMPRODUCT((MONTH('Data Entry'!A2:A356)=Dashboard!Q5)*(YEAR('Data Entry'!A2:A356)=Dashboard!R5)*(INT((DAY('Data Entry'!A2:A356)-1)/7)+1=Dashboard!P5)*(WEEKDAY('Data Entry'!A2:A356)=6)*1),IF(Dashboard!C5="Monthly",SUMPRODUCT((MONTH('Data Entry'!A2:A356)=Dashboard!Q5)*(YEAR('Data Entry'!A2:A356)=Dashboard!R5)*(WEEKDAY('Data Entry'!A2:A356)=6)*1),IF(Dashboard!C5="Quarterly",SUMPRODUCT(('Data Entry'!P2:P356=Dashboard!K5)*(WEEKDAY('Data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IF(Dashboard!C5="Weekly",SUMPRODUCT((MONTH('Data Entry'!A2:A356)=Dashboard!Q5)*(YEAR('Data Entry'!A2:A356)=Dashboard!R5)*(INT((DAY('Data Entry'!A2:A356)-1)/7)+1=Dashboard!P5)*(WEEKDAY('Data Entry'!A2:A356)=7)*1),IF(Dashboard!C5="Monthly",SUMPRODUCT((MONTH('Data Entry'!A2:A356)=Dashboard!Q5)*(YEAR('Data Entry'!A2:A356)=Dashboard!R5)*(WEEKDAY('Data Entry'!A2:A356)=7)*1),IF(Dashboard!C5="Quarterly",SUMPRODUCT(('Data Entry'!P2:P356=Dashboard!K5)*(WEEKDAY('Data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IF(Dashboard!C5="Weekly",SUMPRODUCT((MONTH('Data Entry'!A2:A356)=Dashboard!Q5)*(YEAR('Data Entry'!A2:A356)=Dashboard!R5)*(INT((DAY('Data Entry'!A2:A356)-1)/7)+1=Dashboard!P5)*(WEEKDAY('Data Entry'!A2:A356)=1)*1),IF(Dashboard!C5="Monthly",SUMPRODUCT((MONTH('Data Entry'!A2:A356)=Dashboard!Q5)*(YEAR('Data Entry'!A2:A356)=Dashboard!R5)*(WEEKDAY('Data Entry'!A2:A356)=1)*1),IF(Dashboard!C5="Quarterly",SUMPRODUCT(('Data Entry'!P2:P356=Dashboard!K5)*(WEEKDAY('Data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IF(Dashboard!C5="Weekly",SUMPRODUCT((MONTH('Data Entry'!A2:A356)=Dashboard!Q5)*(YEAR('Data Entry'!A2:A356)=Dashboard!R5)*(INT((DAY('Data Entry'!A2:A356)-1)/7)+1=Dashboard!P5)*('Data Entry'!J2:J356=P44)*1),IF(Dashboard!C5="Monthly",SUMPRODUCT((MONTH('Data Entry'!A2:A356)=Dashboard!Q5)*(YEAR('Data Entry'!A2:A356)=Dashboard!R5)*('Data Entry'!J2:J356=P44)*1),IF(Dashboard!C5="Quarterly",SUMPRODUCT(('Data Entry'!P2:P356=Dashboard!K5)*('Data Entry'!J2:J356=P44)*1),COUNTIF('Data Entry'!J2:J356,P44))))</f>
        <v/>
      </c>
    </row>
    <row r="45">
      <c r="P45" s="63" t="inlineStr">
        <is>
          <t>No</t>
        </is>
      </c>
      <c r="Q45" s="63">
        <f>IF(Dashboard!C5="Weekly",SUMPRODUCT((MONTH('Data Entry'!A2:A356)=Dashboard!Q5)*(YEAR('Data Entry'!A2:A356)=Dashboard!R5)*(INT((DAY('Data Entry'!A2:A356)-1)/7)+1=Dashboard!P5)*('Data Entry'!J2:J356=P45)*1),IF(Dashboard!C5="Monthly",SUMPRODUCT((MONTH('Data Entry'!A2:A356)=Dashboard!Q5)*(YEAR('Data Entry'!A2:A356)=Dashboard!R5)*('Data Entry'!J2:J356=P45)*1),IF(Dashboard!C5="Quarterly",SUMPRODUCT(('Data Entry'!P2:P356=Dashboard!K5)*('Data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2025-12-04T14:51:19Z</dcterms:modified>
  <cp:lastModifiedBy>stephen tapala</cp:lastModifiedBy>
</cp:coreProperties>
</file>