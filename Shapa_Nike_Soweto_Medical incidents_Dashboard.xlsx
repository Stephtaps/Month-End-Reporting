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4"/>
  <sheetViews>
    <sheetView showGridLines="0" topLeftCell="A24" workbookViewId="0">
      <selection activeCell="B2" sqref="B2"/>
    </sheetView>
  </sheetViews>
  <sheetFormatPr baseColWidth="8" defaultRowHeight="15"/>
  <cols>
    <col width="14" customWidth="1" style="21" min="1" max="19"/>
  </cols>
  <sheetData>
    <row r="1" ht="36.75" customHeight="1" s="21">
      <c r="A1" s="36" t="inlineStr">
        <is>
          <t>SHAPA NIKE SOWETO MEDICAL DASHBOARD</t>
        </is>
      </c>
    </row>
    <row r="2">
      <c r="A2" s="1" t="inlineStr">
        <is>
          <t>Select Period:</t>
        </is>
      </c>
      <c r="B2" s="14" t="inlineStr">
        <is>
          <t>Oct-25</t>
        </is>
      </c>
      <c r="D2" s="1" t="inlineStr">
        <is>
          <t>Date Range:</t>
        </is>
      </c>
      <c r="E2">
        <f>IF(B2="All Time","All Data","Month: "&amp;B2)</f>
        <v/>
      </c>
    </row>
    <row r="4" ht="15.75" customHeight="1" s="21">
      <c r="A4" s="24" t="inlineStr">
        <is>
          <t>TOTAL INCIDENTS</t>
        </is>
      </c>
      <c r="B4" s="25" t="n"/>
      <c r="C4" s="25" t="n"/>
      <c r="D4" s="26" t="n"/>
      <c r="F4" s="27" t="inlineStr">
        <is>
          <t>AVERAGE AGE</t>
        </is>
      </c>
      <c r="G4" s="25" t="n"/>
      <c r="H4" s="25" t="n"/>
      <c r="I4" s="26" t="n"/>
      <c r="K4" s="28" t="inlineStr">
        <is>
          <t>AMBULANCE CALLS</t>
        </is>
      </c>
      <c r="L4" s="25" t="n"/>
      <c r="M4" s="25" t="n"/>
      <c r="N4" s="26" t="n"/>
      <c r="P4" s="29" t="inlineStr">
        <is>
          <t>TOP RISK SITE</t>
        </is>
      </c>
      <c r="Q4" s="25" t="n"/>
      <c r="R4" s="25" t="n"/>
      <c r="S4" s="26" t="n"/>
    </row>
    <row r="5">
      <c r="A5" s="2" t="n"/>
      <c r="B5" s="2" t="n"/>
      <c r="C5" s="2" t="n"/>
      <c r="D5" s="2" t="n"/>
      <c r="F5" s="3" t="n"/>
      <c r="G5" s="3" t="n"/>
      <c r="H5" s="3" t="n"/>
      <c r="I5" s="3" t="n"/>
      <c r="K5" s="4" t="n"/>
      <c r="L5" s="4" t="n"/>
      <c r="M5" s="4" t="n"/>
      <c r="N5" s="4" t="n"/>
      <c r="P5" s="5" t="n"/>
      <c r="Q5" s="5" t="n"/>
      <c r="R5" s="5" t="n"/>
      <c r="S5" s="5" t="n"/>
    </row>
    <row r="6" ht="46.5" customHeight="1" s="21">
      <c r="A6" s="2" t="n"/>
      <c r="B6" s="6">
        <f>IF($B$2="All Time",COUNTA(MedicalData[Date]),COUNTIF(MedicalData[Month],$B$2))</f>
        <v/>
      </c>
      <c r="C6" s="2" t="n"/>
      <c r="D6" s="2" t="n"/>
      <c r="F6" s="3" t="n"/>
      <c r="G6" s="7">
        <f>ROUND(IF($B$2="All Time",AVERAGE(MedicalData[Age]),AVERAGEIF(MedicalData[Month],$B$2,MedicalData[Age])),0)</f>
        <v/>
      </c>
      <c r="H6" s="3" t="n"/>
      <c r="I6" s="3" t="n"/>
      <c r="K6" s="4" t="n"/>
      <c r="L6" s="8">
        <f>IF($B$2="All Time",COUNTIF(MedicalData[Hospital Transportation],"Yes"),COUNTIFS(MedicalData[Hospital Transportation],"Yes",MedicalData[Month],$B$2))</f>
        <v/>
      </c>
      <c r="M6" s="4" t="n"/>
      <c r="N6" s="4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2" t="n"/>
      <c r="B7" s="2" t="n"/>
      <c r="C7" s="2" t="n"/>
      <c r="D7" s="2" t="n"/>
      <c r="F7" s="3" t="n"/>
      <c r="G7" s="3" t="n"/>
      <c r="H7" s="3" t="n"/>
      <c r="I7" s="3" t="n"/>
      <c r="K7" s="4" t="n"/>
      <c r="L7" s="4" t="n"/>
      <c r="M7" s="4" t="n"/>
      <c r="N7" s="4" t="n"/>
      <c r="P7" s="5" t="n"/>
      <c r="Q7" s="5" t="n"/>
      <c r="R7" s="10">
        <f>IF(Q6="","",COUNTIF(MedicalData[Site],Q6))</f>
        <v/>
      </c>
      <c r="S7" s="5" t="n"/>
    </row>
    <row r="8">
      <c r="A8" s="2" t="n"/>
      <c r="B8" s="2" t="n"/>
      <c r="C8" s="2" t="n"/>
      <c r="D8" s="2" t="n"/>
      <c r="F8" s="3" t="n"/>
      <c r="G8" s="3" t="n"/>
      <c r="H8" s="3" t="n"/>
      <c r="I8" s="3" t="n"/>
      <c r="K8" s="4" t="n"/>
      <c r="L8" s="4" t="n"/>
      <c r="M8" s="4" t="n"/>
      <c r="N8" s="4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</sheetData>
  <mergeCells count="7">
    <mergeCell ref="K4:N4"/>
    <mergeCell ref="A61:N61"/>
    <mergeCell ref="A1:P1"/>
    <mergeCell ref="A4:D4"/>
    <mergeCell ref="F4:I4"/>
    <mergeCell ref="A76:N76"/>
    <mergeCell ref="P4:S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COUNTIF(MedicalData[Site],A4)</f>
        <v/>
      </c>
      <c r="C4">
        <f>IF(SUM($B$4:$B$8)=0,0,B4/SUM($B$4:$B$8))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COUNTIF(MedicalData[Site],A5)</f>
        <v/>
      </c>
      <c r="C5">
        <f>IF(SUM($B$4:$B$8)=0,0,B5/SUM($B$4:$B$8))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COUNTIF(MedicalData[Site],A6)</f>
        <v/>
      </c>
      <c r="C6">
        <f>IF(SUM($B$4:$B$8)=0,0,B6/SUM($B$4:$B$8))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COUNTIF(MedicalData[Site],A7)</f>
        <v/>
      </c>
      <c r="C7">
        <f>IF(SUM($B$4:$B$8)=0,0,B7/SUM($B$4:$B$8))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COUNTIF(MedicalData[Site],A8)</f>
        <v/>
      </c>
      <c r="C8">
        <f>IF(SUM($B$4:$B$8)=0,0,B8/SUM($B$4:$B$8))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COUNTIF(MedicalData[Site],A9)</f>
        <v/>
      </c>
      <c r="C9">
        <f>IF(SUM($B$4:$B$8)=0,0,B9/SUM($B$4:$B$8))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COUNTIF(MedicalData[Site],A10)</f>
        <v/>
      </c>
      <c r="C10">
        <f>IF(SUM($B$4:$B$8)=0,0,B10/SUM($B$4:$B$8))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COUNTIF(MedicalData[Site],A11)</f>
        <v/>
      </c>
      <c r="C11">
        <f>IF(SUM($B$4:$B$8)=0,0,B11/SUM($B$4:$B$8))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COUNTIF(MedicalData[Site],A12)</f>
        <v/>
      </c>
      <c r="C12">
        <f>IF(SUM($B$4:$B$8)=0,0,B12/SUM($B$4:$B$8))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COUNTIF(MedicalData[Site],A13)</f>
        <v/>
      </c>
      <c r="C13">
        <f>IF(SUM($B$4:$B$8)=0,0,B13/SUM($B$4:$B$8))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COUNTIF(MedicalData[Site],A14)</f>
        <v/>
      </c>
      <c r="C14">
        <f>IF(SUM($B$4:$B$8)=0,0,B14/SUM($B$4:$B$8))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COUNTIF(MedicalData[Site],A15)</f>
        <v/>
      </c>
      <c r="C15">
        <f>IF(SUM($B$4:$B$8)=0,0,B15/SUM($B$4:$B$8))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COUNTIF(MedicalData[Site],A16)</f>
        <v/>
      </c>
      <c r="C16">
        <f>IF(SUM($B$4:$B$8)=0,0,B16/SUM($B$4:$B$8))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COUNTIF(MedicalData[Site],A17)</f>
        <v/>
      </c>
      <c r="C17">
        <f>IF(SUM($B$4:$B$8)=0,0,B17/SUM($B$4:$B$8))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COUNTIF(MedicalData[Site],A18)</f>
        <v/>
      </c>
      <c r="C18">
        <f>IF(SUM($B$4:$B$8)=0,0,B18/SUM($B$4:$B$8))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COUNTIF(MedicalData[Site],A19)</f>
        <v/>
      </c>
      <c r="C19">
        <f>IF(SUM($B$4:$B$8)=0,0,B19/SUM($B$4:$B$8))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COUNTIFS(MedicalData[Age],"&gt;=0",MedicalData[Age],"&lt;=12")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COUNTIFS(MedicalData[Age],"&gt;=13",MedicalData[Age],"&lt;=17")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COUNTIFS(MedicalData[Age],"&gt;=18",MedicalData[Age],"&lt;=25")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COUNTIFS(MedicalData[Age],"&gt;=26",MedicalData[Age],"&lt;=35")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COUNTIFS(MedicalData[Age],"&gt;=36")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COUNTIF(MedicalData[Specific injuries treated],"*"&amp;A4&amp;"*")</f>
        <v/>
      </c>
      <c r="C4" s="35">
        <f>IF(SUM($B$4:$B$13)=0,0,B4/SUM($B$4:$B$13))</f>
        <v/>
      </c>
    </row>
    <row r="5">
      <c r="A5" t="inlineStr">
        <is>
          <t xml:space="preserve">Neck Injury </t>
        </is>
      </c>
      <c r="B5">
        <f>COUNTIF(MedicalData[Specific injuries treated],"*"&amp;A5&amp;"*")</f>
        <v/>
      </c>
      <c r="C5" s="35">
        <f>IF(SUM($B$4:$B$13)=0,0,B5/SUM($B$4:$B$13))</f>
        <v/>
      </c>
    </row>
    <row r="6">
      <c r="A6" t="inlineStr">
        <is>
          <t xml:space="preserve">Facial Injury </t>
        </is>
      </c>
      <c r="B6">
        <f>COUNTIF(MedicalData[Specific injuries treated],"*"&amp;A6&amp;"*")</f>
        <v/>
      </c>
      <c r="C6" s="35">
        <f>IF(SUM($B$4:$B$13)=0,0,B6/SUM($B$4:$B$13))</f>
        <v/>
      </c>
    </row>
    <row r="7">
      <c r="A7" t="inlineStr">
        <is>
          <t xml:space="preserve">spinal injury </t>
        </is>
      </c>
      <c r="B7">
        <f>COUNTIF(MedicalData[Specific injuries treated],"*"&amp;A7&amp;"*")</f>
        <v/>
      </c>
      <c r="C7" s="35">
        <f>IF(SUM($B$4:$B$13)=0,0,B7/SUM($B$4:$B$13))</f>
        <v/>
      </c>
    </row>
    <row r="8">
      <c r="A8" t="inlineStr">
        <is>
          <t xml:space="preserve">Shoulder </t>
        </is>
      </c>
      <c r="B8">
        <f>COUNTIF(MedicalData[Specific injuries treated],"*"&amp;A8&amp;"*")</f>
        <v/>
      </c>
      <c r="C8" s="35">
        <f>IF(SUM($B$4:$B$13)=0,0,B8/SUM($B$4:$B$13))</f>
        <v/>
      </c>
    </row>
    <row r="9">
      <c r="A9" t="inlineStr">
        <is>
          <t xml:space="preserve">Elbow </t>
        </is>
      </c>
      <c r="B9">
        <f>COUNTIF(MedicalData[Specific injuries treated],"*"&amp;A9&amp;"*")</f>
        <v/>
      </c>
      <c r="C9" s="35">
        <f>IF(SUM($B$4:$B$13)=0,0,B9/SUM($B$4:$B$13))</f>
        <v/>
      </c>
    </row>
    <row r="10">
      <c r="A10" t="inlineStr">
        <is>
          <t xml:space="preserve">Wrist </t>
        </is>
      </c>
      <c r="B10">
        <f>COUNTIF(MedicalData[Specific injuries treated],"*"&amp;A10&amp;"*")</f>
        <v/>
      </c>
      <c r="C10" s="35">
        <f>IF(SUM($B$4:$B$13)=0,0,B10/SUM($B$4:$B$13))</f>
        <v/>
      </c>
    </row>
    <row r="11">
      <c r="A11" t="inlineStr">
        <is>
          <t xml:space="preserve">Hand </t>
        </is>
      </c>
      <c r="B11">
        <f>COUNTIF(MedicalData[Specific injuries treated],"*"&amp;A11&amp;"*")</f>
        <v/>
      </c>
      <c r="C11" s="35">
        <f>IF(SUM($B$4:$B$13)=0,0,B11/SUM($B$4:$B$13))</f>
        <v/>
      </c>
    </row>
    <row r="12">
      <c r="A12" t="inlineStr">
        <is>
          <t xml:space="preserve">Arm </t>
        </is>
      </c>
      <c r="B12">
        <f>COUNTIF(MedicalData[Specific injuries treated],"*"&amp;A12&amp;"*")</f>
        <v/>
      </c>
      <c r="C12" s="35">
        <f>IF(SUM($B$4:$B$13)=0,0,B12/SUM($B$4:$B$13))</f>
        <v/>
      </c>
    </row>
    <row r="13">
      <c r="A13" t="inlineStr">
        <is>
          <t xml:space="preserve">Upper limb Muscle </t>
        </is>
      </c>
      <c r="B13">
        <f>COUNTIF(MedicalData[Specific injuries treated],"*"&amp;A13&amp;"*")</f>
        <v/>
      </c>
      <c r="C13" s="35">
        <f>IF(SUM($B$4:$B$13)=0,0,B13/SUM($B$4:$B$13))</f>
        <v/>
      </c>
    </row>
    <row r="14">
      <c r="A14" t="inlineStr">
        <is>
          <t xml:space="preserve">Chest </t>
        </is>
      </c>
      <c r="B14">
        <f>COUNTIF(MedicalData[Specific injuries treated],"*"&amp;A14&amp;"*")</f>
        <v/>
      </c>
      <c r="C14" s="35">
        <f>IF(SUM($B$4:$B$13)=0,0,B14/SUM($B$4:$B$13))</f>
        <v/>
      </c>
    </row>
    <row r="15">
      <c r="A15" t="inlineStr">
        <is>
          <t xml:space="preserve">Abdominal </t>
        </is>
      </c>
      <c r="B15">
        <f>COUNTIF(MedicalData[Specific injuries treated],"*"&amp;A15&amp;"*")</f>
        <v/>
      </c>
      <c r="C15" s="35">
        <f>IF(SUM($B$4:$B$13)=0,0,B15/SUM($B$4:$B$13))</f>
        <v/>
      </c>
    </row>
    <row r="16">
      <c r="A16" t="inlineStr">
        <is>
          <t xml:space="preserve">Back </t>
        </is>
      </c>
      <c r="B16">
        <f>COUNTIF(MedicalData[Specific injuries treated],"*"&amp;A16&amp;"*")</f>
        <v/>
      </c>
      <c r="C16" s="35">
        <f>IF(SUM($B$4:$B$13)=0,0,B16/SUM($B$4:$B$13))</f>
        <v/>
      </c>
    </row>
    <row r="17">
      <c r="A17" t="inlineStr">
        <is>
          <t xml:space="preserve">Hip </t>
        </is>
      </c>
      <c r="B17">
        <f>COUNTIF(MedicalData[Specific injuries treated],"*"&amp;A17&amp;"*")</f>
        <v/>
      </c>
      <c r="C17" s="35">
        <f>IF(SUM($B$4:$B$13)=0,0,B17/SUM($B$4:$B$13))</f>
        <v/>
      </c>
    </row>
    <row r="18">
      <c r="A18" t="inlineStr">
        <is>
          <t xml:space="preserve">Knee </t>
        </is>
      </c>
      <c r="B18">
        <f>COUNTIF(MedicalData[Specific injuries treated],"*"&amp;A18&amp;"*")</f>
        <v/>
      </c>
      <c r="C18" s="35">
        <f>IF(SUM($B$4:$B$13)=0,0,B18/SUM($B$4:$B$13))</f>
        <v/>
      </c>
    </row>
    <row r="19">
      <c r="A19" t="inlineStr">
        <is>
          <t xml:space="preserve">Ankle </t>
        </is>
      </c>
      <c r="B19">
        <f>COUNTIF(MedicalData[Specific injuries treated],"*"&amp;A19&amp;"*")</f>
        <v/>
      </c>
      <c r="C19" s="35">
        <f>IF(SUM($B$4:$B$13)=0,0,B19/SUM($B$4:$B$13))</f>
        <v/>
      </c>
    </row>
    <row r="20">
      <c r="A20" t="inlineStr">
        <is>
          <t xml:space="preserve">Foot </t>
        </is>
      </c>
      <c r="B20">
        <f>COUNTIF(MedicalData[Specific injuries treated],"*"&amp;A20&amp;"*")</f>
        <v/>
      </c>
      <c r="C20" s="35">
        <f>IF(SUM($B$4:$B$13)=0,0,B20/SUM($B$4:$B$13))</f>
        <v/>
      </c>
    </row>
    <row r="21">
      <c r="A21" t="inlineStr">
        <is>
          <t xml:space="preserve">Lower limb </t>
        </is>
      </c>
      <c r="B21">
        <f>COUNTIF(MedicalData[Specific injuries treated],"*"&amp;A21&amp;"*")</f>
        <v/>
      </c>
      <c r="C21" s="35">
        <f>IF(SUM($B$4:$B$13)=0,0,B21/SUM($B$4:$B$13))</f>
        <v/>
      </c>
    </row>
    <row r="22">
      <c r="A22" t="inlineStr">
        <is>
          <t xml:space="preserve">General </t>
        </is>
      </c>
      <c r="B22">
        <f>COUNTIF(MedicalData[Specific injuries treated],"*"&amp;A22&amp;"*")</f>
        <v/>
      </c>
      <c r="C22" s="35">
        <f>IF(SUM($B$4:$B$13)=0,0,B22/SUM($B$4:$B$13))</f>
        <v/>
      </c>
    </row>
    <row r="23">
      <c r="A23" t="inlineStr">
        <is>
          <t xml:space="preserve">Medical </t>
        </is>
      </c>
      <c r="B23">
        <f>COUNTIF(MedicalData[Specific injuries treated],"*"&amp;A23&amp;"*")</f>
        <v/>
      </c>
      <c r="C23" s="35">
        <f>IF(SUM($B$4:$B$13)=0,0,B23/SUM($B$4:$B$13))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COUNTIF(MedicalData[History/Mechanism of injury],A4)</f>
        <v/>
      </c>
      <c r="C4" s="35">
        <f>IF(SUM($B$4:$B$10)=0,0,B4/SUM($B$4:$B$10))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COUNTIF(MedicalData[History/Mechanism of injury],A5)</f>
        <v/>
      </c>
      <c r="C5" s="35">
        <f>IF(SUM($B$4:$B$10)=0,0,B5/SUM($B$4:$B$10))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COUNTIF(MedicalData[History/Mechanism of injury],A6)</f>
        <v/>
      </c>
      <c r="C6" s="35">
        <f>IF(SUM($B$4:$B$10)=0,0,B6/SUM($B$4:$B$10))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COUNTIF(MedicalData[History/Mechanism of injury],A7)</f>
        <v/>
      </c>
      <c r="C7" s="35">
        <f>IF(SUM($B$4:$B$10)=0,0,B7/SUM($B$4:$B$10))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COUNTIF(MedicalData[History/Mechanism of injury],A8)</f>
        <v/>
      </c>
      <c r="C8" s="35">
        <f>IF(SUM($B$4:$B$10)=0,0,B8/SUM($B$4:$B$10))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COUNTIF(MedicalData[History/Mechanism of injury],A9)</f>
        <v/>
      </c>
      <c r="C9" s="35">
        <f>IF(SUM($B$4:$B$10)=0,0,B9/SUM($B$4:$B$10))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COUNTIF(MedicalData[History/Mechanism of injury],A10)</f>
        <v/>
      </c>
      <c r="C10" s="35">
        <f>IF(SUM($B$4:$B$10)=0,0,B10/SUM($B$4:$B$10))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COUNTIF(MedicalData[History/Mechanism of injury],A11)</f>
        <v/>
      </c>
      <c r="C11" s="35">
        <f>IF(SUM($B$4:$B$10)=0,0,B11/SUM($B$4:$B$10))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COUNTIF(MedicalData[History/Mechanism of injury],A12)</f>
        <v/>
      </c>
      <c r="C12" s="35">
        <f>IF(SUM($B$4:$B$10)=0,0,B12/SUM($B$4:$B$10))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COUNTIF(MedicalData[History/Mechanism of injury],A13)</f>
        <v/>
      </c>
      <c r="C13" s="35">
        <f>IF(SUM($B$4:$B$10)=0,0,B13/SUM($B$4:$B$10))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COUNTIF(MedicalData[History/Mechanism of injury],A14)</f>
        <v/>
      </c>
      <c r="C14" s="35">
        <f>IF(SUM($B$4:$B$10)=0,0,B14/SUM($B$4:$B$10))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COUNTIF(MedicalData[History/Mechanism of injury],A15)</f>
        <v/>
      </c>
      <c r="C15" s="35">
        <f>IF(SUM($B$4:$B$10)=0,0,B15/SUM($B$4:$B$10))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COUNTIF(MedicalData[History/Mechanism of injury],A16)</f>
        <v/>
      </c>
      <c r="C16" s="35">
        <f>IF(SUM($B$4:$B$10)=0,0,B16/SUM($B$4:$B$10))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COUNTIF(MedicalData[History/Mechanism of injury],A17)</f>
        <v/>
      </c>
      <c r="C17" s="35">
        <f>IF(SUM($B$4:$B$10)=0,0,B17/SUM($B$4:$B$10))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COUNTIF(MedicalData[History/Mechanism of injury],A18)</f>
        <v/>
      </c>
      <c r="C18" s="35">
        <f>IF(SUM($B$4:$B$10)=0,0,B18/SUM($B$4:$B$10))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COUNTIF(MedicalData[History/Mechanism of injury],A19)</f>
        <v/>
      </c>
      <c r="C19" s="35">
        <f>IF(SUM($B$4:$B$10)=0,0,B19/SUM($B$4:$B$10))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COUNTIF(MedicalData[History/Mechanism of injury],A20)</f>
        <v/>
      </c>
      <c r="C20" s="35">
        <f>IF(SUM($B$4:$B$10)=0,0,B20/SUM($B$4:$B$10))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COUNTIF(MedicalData[History/Mechanism of injury],A21)</f>
        <v/>
      </c>
      <c r="C21" s="35">
        <f>IF(SUM($B$4:$B$10)=0,0,B21/SUM($B$4:$B$10))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COUNTIF(MedicalData[History/Mechanism of injury],A22)</f>
        <v/>
      </c>
      <c r="C22" s="35">
        <f>IF(SUM($B$4:$B$10)=0,0,B22/SUM($B$4:$B$10))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COUNTIF(MedicalData[History/Mechanism of injury],A23)</f>
        <v/>
      </c>
      <c r="C23" s="35">
        <f>IF(SUM($B$4:$B$10)=0,0,B23/SUM($B$4:$B$10))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COUNTIF(MedicalData[History/Mechanism of injury],A24)</f>
        <v/>
      </c>
      <c r="C24" s="35">
        <f>IF(SUM($B$4:$B$10)=0,0,B24/SUM($B$4:$B$10))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COUNTIF(MedicalData[Time Period],"Morning")</f>
        <v/>
      </c>
      <c r="D4">
        <f>IF(C4&gt;=10,"🔴 HIGH",IF(C4&gt;=5,"🟡 MEDIUM","🟢 LOW"))</f>
        <v/>
      </c>
      <c r="E4" s="35">
        <f>IF($C$8=0,0,C4/$C$8)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COUNTIF(MedicalData[Time Period],"Afternoon")</f>
        <v/>
      </c>
      <c r="D5">
        <f>IF(C5&gt;=10,"🔴 HIGH",IF(C5&gt;=5,"🟡 MEDIUM","🟢 LOW"))</f>
        <v/>
      </c>
      <c r="E5" s="35">
        <f>IF($C$8=0,0,C5/$C$8)</f>
        <v/>
      </c>
    </row>
    <row r="6">
      <c r="A6" t="inlineStr">
        <is>
          <t>Evening</t>
        </is>
      </c>
      <c r="B6" t="inlineStr">
        <is>
          <t>18:00 - 21:59</t>
        </is>
      </c>
      <c r="C6">
        <f>COUNTIF(MedicalData[Time Period],"Evening")</f>
        <v/>
      </c>
      <c r="D6">
        <f>IF(C6&gt;=10,"🔴 HIGH",IF(C6&gt;=5,"🟡 MEDIUM","🟢 LOW"))</f>
        <v/>
      </c>
      <c r="E6" s="35">
        <f>IF($C$8=0,0,C6/$C$8)</f>
        <v/>
      </c>
    </row>
    <row r="7">
      <c r="A7" t="inlineStr">
        <is>
          <t>Night</t>
        </is>
      </c>
      <c r="B7" t="inlineStr">
        <is>
          <t>22:00 - 5:59</t>
        </is>
      </c>
      <c r="C7">
        <f>COUNTIF(MedicalData[Time Period],"Night")</f>
        <v/>
      </c>
      <c r="D7">
        <f>IF(C7&gt;=10,"🔴 HIGH",IF(C7&gt;=5,"🟡 MEDIUM","🟢 LOW"))</f>
        <v/>
      </c>
      <c r="E7" s="35">
        <f>IF($C$8=0,0,C7/$C$8)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</row>
    <row r="6">
      <c r="A6" t="inlineStr">
        <is>
          <t>Kicking Boxing</t>
        </is>
      </c>
      <c r="E6" t="inlineStr">
        <is>
          <t>May-24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2025-12-04T09:45:35Z</dcterms:modified>
  <cp:lastModifiedBy>stephen tapala</cp:lastModifiedBy>
</cp:coreProperties>
</file>