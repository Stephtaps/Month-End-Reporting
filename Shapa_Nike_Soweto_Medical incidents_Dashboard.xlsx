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</fonts>
  <fills count="1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Report Type:</t>
        </is>
      </c>
      <c r="B4" s="49" t="inlineStr">
        <is>
          <t>Monthly</t>
        </is>
      </c>
      <c r="C4" s="45" t="n"/>
      <c r="D4" s="50" t="inlineStr">
        <is>
          <t>Select Month:</t>
        </is>
      </c>
      <c r="E4" s="51" t="inlineStr">
        <is>
          <t>Oct-25</t>
        </is>
      </c>
      <c r="F4" s="52" t="n"/>
      <c r="G4" s="50" t="inlineStr">
        <is>
          <t>Select Week:</t>
        </is>
      </c>
      <c r="H4" s="51" t="inlineStr">
        <is>
          <t>Week 1</t>
        </is>
      </c>
      <c r="I4" s="45" t="n"/>
      <c r="J4" s="50" t="inlineStr">
        <is>
          <t>Quarter:</t>
        </is>
      </c>
      <c r="K4" s="53">
        <f>IF(OR(LEFT(E4,3)="Jan",LEFT(E4,3)="Feb",LEFT(E4,3)="Mar"),"Q1",IF(OR(LEFT(E4,3)="Apr",LEFT(E4,3)="May",LEFT(E4,3)="Jun"),"Q2",IF(OR(LEFT(E4,3)="Jul",LEFT(E4,3)="Aug",LEFT(E4,3)="Sep"),"Q3","Q4")))</f>
        <v/>
      </c>
      <c r="L4" s="45" t="n"/>
      <c r="M4" s="45" t="n"/>
      <c r="N4" s="45" t="n"/>
      <c r="P4" s="29" t="inlineStr">
        <is>
          <t>TOP RISK SITE</t>
        </is>
      </c>
    </row>
    <row r="5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edicalData[Month]=E4)*((WEEKNUM(MedicalData[Date])-WEEKNUM(DATE(YEAR(MedicalData[Date]),MONTH(MedicalData[Date]),1))+1)=VALUE(RIGHT(H4,1)))*1),IF(B4="Monthly",COUNTIF(MedicalData[Month],E4),IF(B4="Quarterly",COUNTIF(MedicalData[Quarter],K4),COUNTA(MedicalData[Date]))))</f>
        <v/>
      </c>
      <c r="F7" s="45" t="n"/>
      <c r="G7" s="54" t="inlineStr">
        <is>
          <t>Ambulance</t>
        </is>
      </c>
      <c r="H7" s="56">
        <f>IF(B4="Weekly",SUMPRODUCT((MedicalData[Month]=E4)*((WEEKNUM(MedicalData[Date])-WEEKNUM(DATE(YEAR(MedicalData[Date]),MONTH(MedicalData[Date]),1))+1)=VALUE(RIGHT(H4,1)))*(MedicalData[Hospital Transportation]="Yes")*1),IF(B4="Monthly",COUNTIFS(MedicalData[Month],E4,MedicalData[Hospital Transportation],"Yes"),IF(B4="Quarterly",COUNTIFS(MedicalData[Quarter],K4,MedicalData[Hospital Transportation],"Yes"),COUNTIF(MedicalData[Hospital Transportation],"Yes"))))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"&amp;E4,IF(B4="Quarterly","QUARTERLY BREAKDOWN: "&amp;K4&amp;" "&amp;RIGHT(E4,2),"ALL TIME REPORT")))</f>
        <v/>
      </c>
    </row>
    <row r="89">
      <c r="A89" s="41" t="n"/>
    </row>
    <row r="90">
      <c r="A90" s="42">
        <f>IF(B4="Weekly","Day",IF(B4="Monthly","Week",IF(B4="Quarterly","Month","Period")))</f>
        <v/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IF(B4="Weekly","Day 1",IF(B4="Monthly","Week 1",IF(B4="Quarterly",TEXT(DATE(YEAR(TODAY()),(1+IF(K4="Q1",0,IF(K4="Q2",3,IF(K4="Q3",6,9)))),1),"MMM-YY"),"1")))</f>
        <v/>
      </c>
      <c r="B91">
        <f>IF(B4="Quarterly",
        IF(1&gt;3,"",COUNTIFS(MedicalData[Quarter],K4,MedicalData[Month],TEXT(DATE(YEAR(TODAY()),(1+IF(K4="Q1",0,IF(K4="Q2",3,IF(K4="Q3",6,9)))),1),"MMM-YY"))),
        IF(B4="Monthly",
            SUMPRODUCT((MedicalData[Month]=E4)*((WEEKNUM(MedicalData[Date])-WEEKNUM(DATE(YEAR(MedicalData[Date]),MONTH(MedicalData[Date]),1))+1)=1)*1),
            IF(B4="Weekly",
                SUMPRODUCT((MedicalData[Month]=E4)*((WEEKNUM(MedicalData[Date])-WEEKNUM(DATE(YEAR(MedicalData[Date]),MONTH(MedicalData[Date]),1))+1)=VALUE(RIGHT(H4,1)))*(WEEKDAY(MedicalData[Date])=2)*1),
                "")))</f>
        <v/>
      </c>
      <c r="C91">
        <f>IF(B4="Quarterly",
        IF(1&gt;3,"",COUNTIFS(MedicalData[Quarter],K4,MedicalData[Month],TEXT(DATE(YEAR(TODAY()),(1+IF(K4="Q1",0,IF(K4="Q2",3,IF(K4="Q3",6,9)))),1),"MMM-YY"),MedicalData[Hospital Transportation],"Yes")),
        IF(B4="Monthly",
            SUMPRODUCT((MedicalData[Month]=E4)*((WEEKNUM(MedicalData[Date])-WEEKNUM(DATE(YEAR(MedicalData[Date]),MONTH(MedicalData[Date]),1))+1)=1)*(MedicalData[Hospital Transportation]="Yes")*1),
            ""))</f>
        <v/>
      </c>
      <c r="D91">
        <f>IF(B91=0,"-",IFERROR(ROUND(AVERAGEIF(MedicalData[Month],E4,MedicalData[Age]),0),"-"))</f>
        <v/>
      </c>
    </row>
    <row r="92">
      <c r="A92">
        <f>IF(B4="Weekly","Day 2",IF(B4="Monthly","Week 2",IF(B4="Quarterly",TEXT(DATE(YEAR(TODAY()),(2+IF(K4="Q1",0,IF(K4="Q2",3,IF(K4="Q3",6,9)))),1),"MMM-YY"),"2")))</f>
        <v/>
      </c>
      <c r="B92">
        <f>IF(B4="Quarterly",
        IF(2&gt;3,"",COUNTIFS(MedicalData[Quarter],K4,MedicalData[Month],TEXT(DATE(YEAR(TODAY()),(2+IF(K4="Q1",0,IF(K4="Q2",3,IF(K4="Q3",6,9)))),1),"MMM-YY"))),
        IF(B4="Monthly",
            SUMPRODUCT((MedicalData[Month]=E4)*((WEEKNUM(MedicalData[Date])-WEEKNUM(DATE(YEAR(MedicalData[Date]),MONTH(MedicalData[Date]),1))+1)=2)*1),
            IF(B4="Weekly",
                SUMPRODUCT((MedicalData[Month]=E4)*((WEEKNUM(MedicalData[Date])-WEEKNUM(DATE(YEAR(MedicalData[Date]),MONTH(MedicalData[Date]),1))+1)=VALUE(RIGHT(H4,1)))*(WEEKDAY(MedicalData[Date])=3)*1),
                "")))</f>
        <v/>
      </c>
      <c r="C92">
        <f>IF(B4="Quarterly",
        IF(2&gt;3,"",COUNTIFS(MedicalData[Quarter],K4,MedicalData[Month],TEXT(DATE(YEAR(TODAY()),(2+IF(K4="Q1",0,IF(K4="Q2",3,IF(K4="Q3",6,9)))),1),"MMM-YY"),MedicalData[Hospital Transportation],"Yes")),
        IF(B4="Monthly",
            SUMPRODUCT((MedicalData[Month]=E4)*((WEEKNUM(MedicalData[Date])-WEEKNUM(DATE(YEAR(MedicalData[Date]),MONTH(MedicalData[Date]),1))+1)=2)*(MedicalData[Hospital Transportation]="Yes")*1),
            ""))</f>
        <v/>
      </c>
      <c r="D92">
        <f>IF(B92=0,"-",IFERROR(ROUND(AVERAGEIF(MedicalData[Month],E4,MedicalData[Age]),0),"-"))</f>
        <v/>
      </c>
    </row>
    <row r="93">
      <c r="A93">
        <f>IF(B4="Weekly","Day 3",IF(B4="Monthly","Week 3",IF(B4="Quarterly",TEXT(DATE(YEAR(TODAY()),(3+IF(K4="Q1",0,IF(K4="Q2",3,IF(K4="Q3",6,9)))),1),"MMM-YY"),"3")))</f>
        <v/>
      </c>
      <c r="B93">
        <f>IF(B4="Quarterly",
        IF(3&gt;3,"",COUNTIFS(MedicalData[Quarter],K4,MedicalData[Month],TEXT(DATE(YEAR(TODAY()),(3+IF(K4="Q1",0,IF(K4="Q2",3,IF(K4="Q3",6,9)))),1),"MMM-YY"))),
        IF(B4="Monthly",
            SUMPRODUCT((MedicalData[Month]=E4)*((WEEKNUM(MedicalData[Date])-WEEKNUM(DATE(YEAR(MedicalData[Date]),MONTH(MedicalData[Date]),1))+1)=3)*1),
            IF(B4="Weekly",
                SUMPRODUCT((MedicalData[Month]=E4)*((WEEKNUM(MedicalData[Date])-WEEKNUM(DATE(YEAR(MedicalData[Date]),MONTH(MedicalData[Date]),1))+1)=VALUE(RIGHT(H4,1)))*(WEEKDAY(MedicalData[Date])=4)*1),
                "")))</f>
        <v/>
      </c>
      <c r="C93">
        <f>IF(B4="Quarterly",
        IF(3&gt;3,"",COUNTIFS(MedicalData[Quarter],K4,MedicalData[Month],TEXT(DATE(YEAR(TODAY()),(3+IF(K4="Q1",0,IF(K4="Q2",3,IF(K4="Q3",6,9)))),1),"MMM-YY"),MedicalData[Hospital Transportation],"Yes")),
        IF(B4="Monthly",
            SUMPRODUCT((MedicalData[Month]=E4)*((WEEKNUM(MedicalData[Date])-WEEKNUM(DATE(YEAR(MedicalData[Date]),MONTH(MedicalData[Date]),1))+1)=3)*(MedicalData[Hospital Transportation]="Yes")*1),
            ""))</f>
        <v/>
      </c>
      <c r="D93">
        <f>IF(B93=0,"-",IFERROR(ROUND(AVERAGEIF(MedicalData[Month],E4,MedicalData[Age]),0),"-"))</f>
        <v/>
      </c>
    </row>
    <row r="94">
      <c r="A94">
        <f>IF(B4="Quarterly","",IF(B4="Weekly","Day 4","Week 4"))</f>
        <v/>
      </c>
      <c r="B94">
        <f>IF(B4="Quarterly",
        IF(4&gt;3,"",COUNTIFS(MedicalData[Quarter],K4,MedicalData[Month],TEXT(DATE(YEAR(TODAY()),(4+IF(K4="Q1",0,IF(K4="Q2",3,IF(K4="Q3",6,9)))),1),"MMM-YY"))),
        IF(B4="Monthly",
            SUMPRODUCT((MedicalData[Month]=E4)*((WEEKNUM(MedicalData[Date])-WEEKNUM(DATE(YEAR(MedicalData[Date]),MONTH(MedicalData[Date]),1))+1)=4)*1),
            IF(B4="Weekly",
                SUMPRODUCT((MedicalData[Month]=E4)*((WEEKNUM(MedicalData[Date])-WEEKNUM(DATE(YEAR(MedicalData[Date]),MONTH(MedicalData[Date]),1))+1)=VALUE(RIGHT(H4,1)))*(WEEKDAY(MedicalData[Date])=5)*1),
                "")))</f>
        <v/>
      </c>
      <c r="C94">
        <f>IF(B4="Quarterly",
        IF(4&gt;3,"",COUNTIFS(MedicalData[Quarter],K4,MedicalData[Month],TEXT(DATE(YEAR(TODAY()),(4+IF(K4="Q1",0,IF(K4="Q2",3,IF(K4="Q3",6,9)))),1),"MMM-YY"),MedicalData[Hospital Transportation],"Yes")),
        IF(B4="Monthly",
            SUMPRODUCT((MedicalData[Month]=E4)*((WEEKNUM(MedicalData[Date])-WEEKNUM(DATE(YEAR(MedicalData[Date]),MONTH(MedicalData[Date]),1))+1)=4)*(MedicalData[Hospital Transportation]="Yes")*1),
            ""))</f>
        <v/>
      </c>
      <c r="D94">
        <f>IF(B94=0,"-",IFERROR(ROUND(AVERAGEIF(MedicalData[Month],E4,MedicalData[Age]),0),"-"))</f>
        <v/>
      </c>
    </row>
    <row r="95">
      <c r="A95">
        <f>IF(B4="Quarterly","",IF(B4="Weekly","Day 5","Week 5"))</f>
        <v/>
      </c>
      <c r="B95">
        <f>IF(B4="Quarterly",
        IF(5&gt;3,"",COUNTIFS(MedicalData[Quarter],K4,MedicalData[Month],TEXT(DATE(YEAR(TODAY()),(5+IF(K4="Q1",0,IF(K4="Q2",3,IF(K4="Q3",6,9)))),1),"MMM-YY"))),
        IF(B4="Monthly",
            SUMPRODUCT((MedicalData[Month]=E4)*((WEEKNUM(MedicalData[Date])-WEEKNUM(DATE(YEAR(MedicalData[Date]),MONTH(MedicalData[Date]),1))+1)=5)*1),
            IF(B4="Weekly",
                SUMPRODUCT((MedicalData[Month]=E4)*((WEEKNUM(MedicalData[Date])-WEEKNUM(DATE(YEAR(MedicalData[Date]),MONTH(MedicalData[Date]),1))+1)=VALUE(RIGHT(H4,1)))*(WEEKDAY(MedicalData[Date])=6)*1),
                "")))</f>
        <v/>
      </c>
      <c r="C95">
        <f>IF(B4="Quarterly",
        IF(5&gt;3,"",COUNTIFS(MedicalData[Quarter],K4,MedicalData[Month],TEXT(DATE(YEAR(TODAY()),(5+IF(K4="Q1",0,IF(K4="Q2",3,IF(K4="Q3",6,9)))),1),"MMM-YY"),MedicalData[Hospital Transportation],"Yes")),
        IF(B4="Monthly",
            SUMPRODUCT((MedicalData[Month]=E4)*((WEEKNUM(MedicalData[Date])-WEEKNUM(DATE(YEAR(MedicalData[Date]),MONTH(MedicalData[Date]),1))+1)=5)*(MedicalData[Hospital Transportation]="Yes")*1),
            ""))</f>
        <v/>
      </c>
      <c r="D95">
        <f>IF(B95=0,"-",IFERROR(ROUND(AVERAGEIF(MedicalData[Month],E4,MedicalData[Age]),0),"-"))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2" showDropDown="0" showInputMessage="0" showErrorMessage="0" allowBlank="1" errorTitle="Invalid Month" error="Please select a valid month" promptTitle="Month Selection" prompt="Select a month or 'All Time'" type="list">
      <formula1>=Lists!$E$1:$E$26</formula1>
    </dataValidation>
    <dataValidation sqref="B4" showDropDown="0" showInputMessage="0" showErrorMessage="0" allowBlank="0" prompt="Select report type" type="list">
      <formula1>=Lists!$G$2:$G$4</formula1>
    </dataValidation>
    <dataValidation sqref="E4" showDropDown="0" showInputMessage="0" showErrorMessage="0" allowBlank="0" prompt="Select month" type="list">
      <formula1>=Lists!$E$2:$E$26</formula1>
    </dataValidation>
    <dataValidation sqref="H4" showDropDown="0" showInputMessage="0" showErrorMessage="0" allowBlank="0" prompt="Select week" type="list">
      <formula1>=Lists!$H$2:$H$6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IF(Dashboard!B4="Monthly",COUNTIFS(MedicalData[Site],A4,MedicalData[Month],Dashboard!E4),IF(Dashboard!B4="Quarterly",COUNTIFS(MedicalData[Site],A4,MedicalData[Quarter],Dashboard!K4),COUNTIF(MedicalData[Site],A4)))</f>
        <v/>
      </c>
      <c r="C4">
        <f>IF(SUM($B$4:$B$8)=0,0,B4/SUM($B$4:$B$8))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IF(Dashboard!B4="Monthly",COUNTIFS(MedicalData[Site],A5,MedicalData[Month],Dashboard!E4),IF(Dashboard!B4="Quarterly",COUNTIFS(MedicalData[Site],A5,MedicalData[Quarter],Dashboard!K4),COUNTIF(MedicalData[Site],A5)))</f>
        <v/>
      </c>
      <c r="C5">
        <f>IF(SUM($B$4:$B$8)=0,0,B5/SUM($B$4:$B$8))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IF(Dashboard!B4="Monthly",COUNTIFS(MedicalData[Site],A6,MedicalData[Month],Dashboard!E4),IF(Dashboard!B4="Quarterly",COUNTIFS(MedicalData[Site],A6,MedicalData[Quarter],Dashboard!K4),COUNTIF(MedicalData[Site],A6)))</f>
        <v/>
      </c>
      <c r="C6">
        <f>IF(SUM($B$4:$B$8)=0,0,B6/SUM($B$4:$B$8))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IF(Dashboard!B4="Monthly",COUNTIFS(MedicalData[Site],A7,MedicalData[Month],Dashboard!E4),IF(Dashboard!B4="Quarterly",COUNTIFS(MedicalData[Site],A7,MedicalData[Quarter],Dashboard!K4),COUNTIF(MedicalData[Site],A7)))</f>
        <v/>
      </c>
      <c r="C7">
        <f>IF(SUM($B$4:$B$8)=0,0,B7/SUM($B$4:$B$8))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IF(Dashboard!B4="Monthly",COUNTIFS(MedicalData[Site],A8,MedicalData[Month],Dashboard!E4),IF(Dashboard!B4="Quarterly",COUNTIFS(MedicalData[Site],A8,MedicalData[Quarter],Dashboard!K4),COUNTIF(MedicalData[Site],A8)))</f>
        <v/>
      </c>
      <c r="C8">
        <f>IF(SUM($B$4:$B$8)=0,0,B8/SUM($B$4:$B$8))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IF(Dashboard!B4="Monthly",COUNTIFS(MedicalData[Site],A9,MedicalData[Month],Dashboard!E4),IF(Dashboard!B4="Quarterly",COUNTIFS(MedicalData[Site],A9,MedicalData[Quarter],Dashboard!K4),COUNTIF(MedicalData[Site],A9)))</f>
        <v/>
      </c>
      <c r="C9">
        <f>IF(SUM($B$4:$B$8)=0,0,B9/SUM($B$4:$B$8))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IF(Dashboard!B4="Monthly",COUNTIFS(MedicalData[Site],A10,MedicalData[Month],Dashboard!E4),IF(Dashboard!B4="Quarterly",COUNTIFS(MedicalData[Site],A10,MedicalData[Quarter],Dashboard!K4),COUNTIF(MedicalData[Site],A10)))</f>
        <v/>
      </c>
      <c r="C10">
        <f>IF(SUM($B$4:$B$8)=0,0,B10/SUM($B$4:$B$8))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IF(Dashboard!B4="Monthly",COUNTIFS(MedicalData[Site],A11,MedicalData[Month],Dashboard!E4),IF(Dashboard!B4="Quarterly",COUNTIFS(MedicalData[Site],A11,MedicalData[Quarter],Dashboard!K4),COUNTIF(MedicalData[Site],A11)))</f>
        <v/>
      </c>
      <c r="C11">
        <f>IF(SUM($B$4:$B$8)=0,0,B11/SUM($B$4:$B$8))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IF(Dashboard!B4="Monthly",COUNTIFS(MedicalData[Site],A12,MedicalData[Month],Dashboard!E4),IF(Dashboard!B4="Quarterly",COUNTIFS(MedicalData[Site],A12,MedicalData[Quarter],Dashboard!K4),COUNTIF(MedicalData[Site],A12)))</f>
        <v/>
      </c>
      <c r="C12">
        <f>IF(SUM($B$4:$B$8)=0,0,B12/SUM($B$4:$B$8))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IF(Dashboard!B4="Monthly",COUNTIFS(MedicalData[Site],A13,MedicalData[Month],Dashboard!E4),IF(Dashboard!B4="Quarterly",COUNTIFS(MedicalData[Site],A13,MedicalData[Quarter],Dashboard!K4),COUNTIF(MedicalData[Site],A13)))</f>
        <v/>
      </c>
      <c r="C13">
        <f>IF(SUM($B$4:$B$8)=0,0,B13/SUM($B$4:$B$8))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IF(Dashboard!B4="Monthly",COUNTIFS(MedicalData[Site],A14,MedicalData[Month],Dashboard!E4),IF(Dashboard!B4="Quarterly",COUNTIFS(MedicalData[Site],A14,MedicalData[Quarter],Dashboard!K4),COUNTIF(MedicalData[Site],A14)))</f>
        <v/>
      </c>
      <c r="C14">
        <f>IF(SUM($B$4:$B$8)=0,0,B14/SUM($B$4:$B$8))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IF(Dashboard!B4="Monthly",COUNTIFS(MedicalData[Site],A15,MedicalData[Month],Dashboard!E4),IF(Dashboard!B4="Quarterly",COUNTIFS(MedicalData[Site],A15,MedicalData[Quarter],Dashboard!K4),COUNTIF(MedicalData[Site],A15)))</f>
        <v/>
      </c>
      <c r="C15">
        <f>IF(SUM($B$4:$B$8)=0,0,B15/SUM($B$4:$B$8))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IF(Dashboard!B4="Monthly",COUNTIFS(MedicalData[Site],A16,MedicalData[Month],Dashboard!E4),IF(Dashboard!B4="Quarterly",COUNTIFS(MedicalData[Site],A16,MedicalData[Quarter],Dashboard!K4),COUNTIF(MedicalData[Site],A16)))</f>
        <v/>
      </c>
      <c r="C16">
        <f>IF(SUM($B$4:$B$8)=0,0,B16/SUM($B$4:$B$8))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IF(Dashboard!B4="Monthly",COUNTIFS(MedicalData[Site],A17,MedicalData[Month],Dashboard!E4),IF(Dashboard!B4="Quarterly",COUNTIFS(MedicalData[Site],A17,MedicalData[Quarter],Dashboard!K4),COUNTIF(MedicalData[Site],A17)))</f>
        <v/>
      </c>
      <c r="C17">
        <f>IF(SUM($B$4:$B$8)=0,0,B17/SUM($B$4:$B$8))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IF(Dashboard!B4="Monthly",COUNTIFS(MedicalData[Site],A18,MedicalData[Month],Dashboard!E4),IF(Dashboard!B4="Quarterly",COUNTIFS(MedicalData[Site],A18,MedicalData[Quarter],Dashboard!K4),COUNTIF(MedicalData[Site],A18)))</f>
        <v/>
      </c>
      <c r="C18">
        <f>IF(SUM($B$4:$B$8)=0,0,B18/SUM($B$4:$B$8))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IF(Dashboard!B4="Monthly",COUNTIFS(MedicalData[Site],A19,MedicalData[Month],Dashboard!E4),IF(Dashboard!B4="Quarterly",COUNTIFS(MedicalData[Site],A19,MedicalData[Quarter],Dashboard!K4),COUNTIF(MedicalData[Site],A19)))</f>
        <v/>
      </c>
      <c r="C19">
        <f>IF(SUM($B$4:$B$8)=0,0,B19/SUM($B$4:$B$8))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IF(Dashboard!B4="Monthly",COUNTIFS(MedicalData[Age],"&gt;=36",MedicalData[Month],Dashboard!E4),IF(Dashboard!B4="Quarterly",COUNTIFS(MedicalData[Age],"&gt;=36",MedicalData[Quarter],Dashboard!K4),COUNTIFS(MedicalData[Age],"&gt;=36")))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</f>
        <v/>
      </c>
      <c r="C4" s="35">
        <f>IF(SUM($B$4:$B$13)=0,0,B4/SUM($B$4:$B$13))</f>
        <v/>
      </c>
    </row>
    <row r="5">
      <c r="A5" t="inlineStr">
        <is>
          <t xml:space="preserve">Neck Injury </t>
        </is>
      </c>
      <c r="B5">
        <f>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</f>
        <v/>
      </c>
      <c r="C5" s="35">
        <f>IF(SUM($B$4:$B$13)=0,0,B5/SUM($B$4:$B$13))</f>
        <v/>
      </c>
    </row>
    <row r="6">
      <c r="A6" t="inlineStr">
        <is>
          <t xml:space="preserve">Facial Injury </t>
        </is>
      </c>
      <c r="B6">
        <f>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</f>
        <v/>
      </c>
      <c r="C6" s="35">
        <f>IF(SUM($B$4:$B$13)=0,0,B6/SUM($B$4:$B$13))</f>
        <v/>
      </c>
    </row>
    <row r="7">
      <c r="A7" t="inlineStr">
        <is>
          <t xml:space="preserve">spinal injury </t>
        </is>
      </c>
      <c r="B7">
        <f>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</f>
        <v/>
      </c>
      <c r="C7" s="35">
        <f>IF(SUM($B$4:$B$13)=0,0,B7/SUM($B$4:$B$13))</f>
        <v/>
      </c>
    </row>
    <row r="8">
      <c r="A8" t="inlineStr">
        <is>
          <t xml:space="preserve">Shoulder </t>
        </is>
      </c>
      <c r="B8">
        <f>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</f>
        <v/>
      </c>
      <c r="C8" s="35">
        <f>IF(SUM($B$4:$B$13)=0,0,B8/SUM($B$4:$B$13))</f>
        <v/>
      </c>
    </row>
    <row r="9">
      <c r="A9" t="inlineStr">
        <is>
          <t xml:space="preserve">Elbow </t>
        </is>
      </c>
      <c r="B9">
        <f>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</f>
        <v/>
      </c>
      <c r="C9" s="35">
        <f>IF(SUM($B$4:$B$13)=0,0,B9/SUM($B$4:$B$13))</f>
        <v/>
      </c>
    </row>
    <row r="10">
      <c r="A10" t="inlineStr">
        <is>
          <t xml:space="preserve">Wrist </t>
        </is>
      </c>
      <c r="B10">
        <f>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</f>
        <v/>
      </c>
      <c r="C10" s="35">
        <f>IF(SUM($B$4:$B$13)=0,0,B10/SUM($B$4:$B$13))</f>
        <v/>
      </c>
    </row>
    <row r="11">
      <c r="A11" t="inlineStr">
        <is>
          <t xml:space="preserve">Hand </t>
        </is>
      </c>
      <c r="B11">
        <f>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</f>
        <v/>
      </c>
      <c r="C11" s="35">
        <f>IF(SUM($B$4:$B$13)=0,0,B11/SUM($B$4:$B$13))</f>
        <v/>
      </c>
    </row>
    <row r="12">
      <c r="A12" t="inlineStr">
        <is>
          <t xml:space="preserve">Arm </t>
        </is>
      </c>
      <c r="B12">
        <f>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</f>
        <v/>
      </c>
      <c r="C12" s="35">
        <f>IF(SUM($B$4:$B$13)=0,0,B12/SUM($B$4:$B$13))</f>
        <v/>
      </c>
    </row>
    <row r="13">
      <c r="A13" t="inlineStr">
        <is>
          <t xml:space="preserve">Upper limb Muscle </t>
        </is>
      </c>
      <c r="B13">
        <f>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</f>
        <v/>
      </c>
      <c r="C13" s="35">
        <f>IF(SUM($B$4:$B$13)=0,0,B13/SUM($B$4:$B$13))</f>
        <v/>
      </c>
    </row>
    <row r="14">
      <c r="A14" t="inlineStr">
        <is>
          <t xml:space="preserve">Chest </t>
        </is>
      </c>
      <c r="B14">
        <f>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</f>
        <v/>
      </c>
      <c r="C14" s="35">
        <f>IF(SUM($B$4:$B$13)=0,0,B14/SUM($B$4:$B$13))</f>
        <v/>
      </c>
    </row>
    <row r="15">
      <c r="A15" t="inlineStr">
        <is>
          <t xml:space="preserve">Abdominal </t>
        </is>
      </c>
      <c r="B15">
        <f>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</f>
        <v/>
      </c>
      <c r="C15" s="35">
        <f>IF(SUM($B$4:$B$13)=0,0,B15/SUM($B$4:$B$13))</f>
        <v/>
      </c>
    </row>
    <row r="16">
      <c r="A16" t="inlineStr">
        <is>
          <t xml:space="preserve">Back </t>
        </is>
      </c>
      <c r="B16">
        <f>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</f>
        <v/>
      </c>
      <c r="C16" s="35">
        <f>IF(SUM($B$4:$B$13)=0,0,B16/SUM($B$4:$B$13))</f>
        <v/>
      </c>
    </row>
    <row r="17">
      <c r="A17" t="inlineStr">
        <is>
          <t xml:space="preserve">Hip </t>
        </is>
      </c>
      <c r="B17">
        <f>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</f>
        <v/>
      </c>
      <c r="C17" s="35">
        <f>IF(SUM($B$4:$B$13)=0,0,B17/SUM($B$4:$B$13))</f>
        <v/>
      </c>
    </row>
    <row r="18">
      <c r="A18" t="inlineStr">
        <is>
          <t xml:space="preserve">Knee </t>
        </is>
      </c>
      <c r="B18">
        <f>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</f>
        <v/>
      </c>
      <c r="C18" s="35">
        <f>IF(SUM($B$4:$B$13)=0,0,B18/SUM($B$4:$B$13))</f>
        <v/>
      </c>
    </row>
    <row r="19">
      <c r="A19" t="inlineStr">
        <is>
          <t xml:space="preserve">Ankle </t>
        </is>
      </c>
      <c r="B19">
        <f>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</f>
        <v/>
      </c>
      <c r="C19" s="35">
        <f>IF(SUM($B$4:$B$13)=0,0,B19/SUM($B$4:$B$13))</f>
        <v/>
      </c>
    </row>
    <row r="20">
      <c r="A20" t="inlineStr">
        <is>
          <t xml:space="preserve">Foot </t>
        </is>
      </c>
      <c r="B20">
        <f>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</f>
        <v/>
      </c>
      <c r="C20" s="35">
        <f>IF(SUM($B$4:$B$13)=0,0,B20/SUM($B$4:$B$13))</f>
        <v/>
      </c>
    </row>
    <row r="21">
      <c r="A21" t="inlineStr">
        <is>
          <t xml:space="preserve">Lower limb </t>
        </is>
      </c>
      <c r="B21">
        <f>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</f>
        <v/>
      </c>
      <c r="C21" s="35">
        <f>IF(SUM($B$4:$B$13)=0,0,B21/SUM($B$4:$B$13))</f>
        <v/>
      </c>
    </row>
    <row r="22">
      <c r="A22" t="inlineStr">
        <is>
          <t xml:space="preserve">General </t>
        </is>
      </c>
      <c r="B22">
        <f>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</f>
        <v/>
      </c>
      <c r="C22" s="35">
        <f>IF(SUM($B$4:$B$13)=0,0,B22/SUM($B$4:$B$13))</f>
        <v/>
      </c>
    </row>
    <row r="23">
      <c r="A23" t="inlineStr">
        <is>
          <t xml:space="preserve">Medical </t>
        </is>
      </c>
      <c r="B23">
        <f>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</f>
        <v/>
      </c>
      <c r="C23" s="35">
        <f>IF(SUM($B$4:$B$13)=0,0,B23/SUM($B$4:$B$13))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IF(Dashboard!B4="Monthly",COUNTIFS(MedicalData[History/Mechanism of injury],A4,MedicalData[Month],Dashboard!E4),IF(Dashboard!B4="Quarterly",COUNTIFS(MedicalData[History/Mechanism of injury],A4,MedicalData[Quarter],Dashboard!K4),COUNTIF(MedicalData[History/Mechanism of injury],A4)))</f>
        <v/>
      </c>
      <c r="C4" s="35">
        <f>IF(SUM($B$4:$B$10)=0,0,B4/SUM($B$4:$B$10))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IF(Dashboard!B4="Monthly",COUNTIFS(MedicalData[History/Mechanism of injury],A5,MedicalData[Month],Dashboard!E4),IF(Dashboard!B4="Quarterly",COUNTIFS(MedicalData[History/Mechanism of injury],A5,MedicalData[Quarter],Dashboard!K4),COUNTIF(MedicalData[History/Mechanism of injury],A5)))</f>
        <v/>
      </c>
      <c r="C5" s="35">
        <f>IF(SUM($B$4:$B$10)=0,0,B5/SUM($B$4:$B$10))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IF(Dashboard!B4="Monthly",COUNTIFS(MedicalData[History/Mechanism of injury],A6,MedicalData[Month],Dashboard!E4),IF(Dashboard!B4="Quarterly",COUNTIFS(MedicalData[History/Mechanism of injury],A6,MedicalData[Quarter],Dashboard!K4),COUNTIF(MedicalData[History/Mechanism of injury],A6)))</f>
        <v/>
      </c>
      <c r="C6" s="35">
        <f>IF(SUM($B$4:$B$10)=0,0,B6/SUM($B$4:$B$10))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IF(Dashboard!B4="Monthly",COUNTIFS(MedicalData[History/Mechanism of injury],A7,MedicalData[Month],Dashboard!E4),IF(Dashboard!B4="Quarterly",COUNTIFS(MedicalData[History/Mechanism of injury],A7,MedicalData[Quarter],Dashboard!K4),COUNTIF(MedicalData[History/Mechanism of injury],A7)))</f>
        <v/>
      </c>
      <c r="C7" s="35">
        <f>IF(SUM($B$4:$B$10)=0,0,B7/SUM($B$4:$B$10))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IF(Dashboard!B4="Monthly",COUNTIFS(MedicalData[History/Mechanism of injury],A8,MedicalData[Month],Dashboard!E4),IF(Dashboard!B4="Quarterly",COUNTIFS(MedicalData[History/Mechanism of injury],A8,MedicalData[Quarter],Dashboard!K4),COUNTIF(MedicalData[History/Mechanism of injury],A8)))</f>
        <v/>
      </c>
      <c r="C8" s="35">
        <f>IF(SUM($B$4:$B$10)=0,0,B8/SUM($B$4:$B$10))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IF(Dashboard!B4="Monthly",COUNTIFS(MedicalData[History/Mechanism of injury],A9,MedicalData[Month],Dashboard!E4),IF(Dashboard!B4="Quarterly",COUNTIFS(MedicalData[History/Mechanism of injury],A9,MedicalData[Quarter],Dashboard!K4),COUNTIF(MedicalData[History/Mechanism of injury],A9)))</f>
        <v/>
      </c>
      <c r="C9" s="35">
        <f>IF(SUM($B$4:$B$10)=0,0,B9/SUM($B$4:$B$10))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IF(Dashboard!B4="Monthly",COUNTIFS(MedicalData[History/Mechanism of injury],A10,MedicalData[Month],Dashboard!E4),IF(Dashboard!B4="Quarterly",COUNTIFS(MedicalData[History/Mechanism of injury],A10,MedicalData[Quarter],Dashboard!K4),COUNTIF(MedicalData[History/Mechanism of injury],A10)))</f>
        <v/>
      </c>
      <c r="C10" s="35">
        <f>IF(SUM($B$4:$B$10)=0,0,B10/SUM($B$4:$B$10))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IF(Dashboard!B4="Monthly",COUNTIFS(MedicalData[History/Mechanism of injury],A11,MedicalData[Month],Dashboard!E4),IF(Dashboard!B4="Quarterly",COUNTIFS(MedicalData[History/Mechanism of injury],A11,MedicalData[Quarter],Dashboard!K4),COUNTIF(MedicalData[History/Mechanism of injury],A11)))</f>
        <v/>
      </c>
      <c r="C11" s="35">
        <f>IF(SUM($B$4:$B$10)=0,0,B11/SUM($B$4:$B$10))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IF(Dashboard!B4="Monthly",COUNTIFS(MedicalData[History/Mechanism of injury],A12,MedicalData[Month],Dashboard!E4),IF(Dashboard!B4="Quarterly",COUNTIFS(MedicalData[History/Mechanism of injury],A12,MedicalData[Quarter],Dashboard!K4),COUNTIF(MedicalData[History/Mechanism of injury],A12)))</f>
        <v/>
      </c>
      <c r="C12" s="35">
        <f>IF(SUM($B$4:$B$10)=0,0,B12/SUM($B$4:$B$10))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IF(Dashboard!B4="Monthly",COUNTIFS(MedicalData[History/Mechanism of injury],A13,MedicalData[Month],Dashboard!E4),IF(Dashboard!B4="Quarterly",COUNTIFS(MedicalData[History/Mechanism of injury],A13,MedicalData[Quarter],Dashboard!K4),COUNTIF(MedicalData[History/Mechanism of injury],A13)))</f>
        <v/>
      </c>
      <c r="C13" s="35">
        <f>IF(SUM($B$4:$B$10)=0,0,B13/SUM($B$4:$B$10))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IF(Dashboard!B4="Monthly",COUNTIFS(MedicalData[History/Mechanism of injury],A14,MedicalData[Month],Dashboard!E4),IF(Dashboard!B4="Quarterly",COUNTIFS(MedicalData[History/Mechanism of injury],A14,MedicalData[Quarter],Dashboard!K4),COUNTIF(MedicalData[History/Mechanism of injury],A14)))</f>
        <v/>
      </c>
      <c r="C14" s="35">
        <f>IF(SUM($B$4:$B$10)=0,0,B14/SUM($B$4:$B$10))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IF(Dashboard!B4="Monthly",COUNTIFS(MedicalData[History/Mechanism of injury],A15,MedicalData[Month],Dashboard!E4),IF(Dashboard!B4="Quarterly",COUNTIFS(MedicalData[History/Mechanism of injury],A15,MedicalData[Quarter],Dashboard!K4),COUNTIF(MedicalData[History/Mechanism of injury],A15)))</f>
        <v/>
      </c>
      <c r="C15" s="35">
        <f>IF(SUM($B$4:$B$10)=0,0,B15/SUM($B$4:$B$10))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IF(Dashboard!B4="Monthly",COUNTIFS(MedicalData[History/Mechanism of injury],A16,MedicalData[Month],Dashboard!E4),IF(Dashboard!B4="Quarterly",COUNTIFS(MedicalData[History/Mechanism of injury],A16,MedicalData[Quarter],Dashboard!K4),COUNTIF(MedicalData[History/Mechanism of injury],A16)))</f>
        <v/>
      </c>
      <c r="C16" s="35">
        <f>IF(SUM($B$4:$B$10)=0,0,B16/SUM($B$4:$B$10))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IF(Dashboard!B4="Monthly",COUNTIFS(MedicalData[History/Mechanism of injury],A17,MedicalData[Month],Dashboard!E4),IF(Dashboard!B4="Quarterly",COUNTIFS(MedicalData[History/Mechanism of injury],A17,MedicalData[Quarter],Dashboard!K4),COUNTIF(MedicalData[History/Mechanism of injury],A17)))</f>
        <v/>
      </c>
      <c r="C17" s="35">
        <f>IF(SUM($B$4:$B$10)=0,0,B17/SUM($B$4:$B$10))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IF(Dashboard!B4="Monthly",COUNTIFS(MedicalData[History/Mechanism of injury],A18,MedicalData[Month],Dashboard!E4),IF(Dashboard!B4="Quarterly",COUNTIFS(MedicalData[History/Mechanism of injury],A18,MedicalData[Quarter],Dashboard!K4),COUNTIF(MedicalData[History/Mechanism of injury],A18)))</f>
        <v/>
      </c>
      <c r="C18" s="35">
        <f>IF(SUM($B$4:$B$10)=0,0,B18/SUM($B$4:$B$10))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IF(Dashboard!B4="Monthly",COUNTIFS(MedicalData[History/Mechanism of injury],A19,MedicalData[Month],Dashboard!E4),IF(Dashboard!B4="Quarterly",COUNTIFS(MedicalData[History/Mechanism of injury],A19,MedicalData[Quarter],Dashboard!K4),COUNTIF(MedicalData[History/Mechanism of injury],A19)))</f>
        <v/>
      </c>
      <c r="C19" s="35">
        <f>IF(SUM($B$4:$B$10)=0,0,B19/SUM($B$4:$B$10))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C20" s="35">
        <f>IF(SUM($B$4:$B$10)=0,0,B20/SUM($B$4:$B$10))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C21" s="35">
        <f>IF(SUM($B$4:$B$10)=0,0,B21/SUM($B$4:$B$10))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C22" s="35">
        <f>IF(SUM($B$4:$B$10)=0,0,B22/SUM($B$4:$B$10))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C23" s="35">
        <f>IF(SUM($B$4:$B$10)=0,0,B23/SUM($B$4:$B$10))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  <c r="C24" s="35">
        <f>IF(SUM($B$4:$B$10)=0,0,B24/SUM($B$4:$B$10))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IF(Dashboard!B4="Monthly",COUNTIFS(MedicalData[Time Period],A4,MedicalData[Month],Dashboard!E4),IF(Dashboard!B4="Quarterly",COUNTIFS(MedicalData[Time Period],A4,MedicalData[Quarter],Dashboard!K4),COUNTIF(MedicalData[Time Period],A4)))</f>
        <v/>
      </c>
      <c r="D4">
        <f>IF(C4&gt;=10,"🔴 HIGH",IF(C4&gt;=5,"🟡 MEDIUM","🟢 LOW"))</f>
        <v/>
      </c>
      <c r="E4" s="35">
        <f>IF($C$8=0,0,C4/$C$8)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IF(Dashboard!B4="Monthly",COUNTIFS(MedicalData[Time Period],A5,MedicalData[Month],Dashboard!E4),IF(Dashboard!B4="Quarterly",COUNTIFS(MedicalData[Time Period],A5,MedicalData[Quarter],Dashboard!K4),COUNTIF(MedicalData[Time Period],A5)))</f>
        <v/>
      </c>
      <c r="D5">
        <f>IF(C5&gt;=10,"🔴 HIGH",IF(C5&gt;=5,"🟡 MEDIUM","🟢 LOW"))</f>
        <v/>
      </c>
      <c r="E5" s="35">
        <f>IF($C$8=0,0,C5/$C$8)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IF(Dashboard!B4="Monthly",COUNTIFS(MedicalData[Time Period],A6,MedicalData[Month],Dashboard!E4),IF(Dashboard!B4="Quarterly",COUNTIFS(MedicalData[Time Period],A6,MedicalData[Quarter],Dashboard!K4),COUNTIF(MedicalData[Time Period],A6)))</f>
        <v/>
      </c>
      <c r="D6">
        <f>IF(C6&gt;=10,"🔴 HIGH",IF(C6&gt;=5,"🟡 MEDIUM","🟢 LOW"))</f>
        <v/>
      </c>
      <c r="E6" s="35">
        <f>IF($C$8=0,0,C6/$C$8)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IF(Dashboard!B4="Monthly",COUNTIFS(MedicalData[Time Period],A7,MedicalData[Month],Dashboard!E4),IF(Dashboard!B4="Quarterly",COUNTIFS(MedicalData[Time Period],A7,MedicalData[Quarter],Dashboard!K4),COUNTIF(MedicalData[Time Period],A7)))</f>
        <v/>
      </c>
      <c r="D7">
        <f>IF(C7&gt;=10,"🔴 HIGH",IF(C7&gt;=5,"🟡 MEDIUM","🟢 LOW"))</f>
        <v/>
      </c>
      <c r="E7" s="35">
        <f>IF($C$8=0,0,C7/$C$8)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2025-12-04T10:16:58Z</dcterms:modified>
  <cp:lastModifiedBy>stephen tapala</cp:lastModifiedBy>
</cp:coreProperties>
</file>