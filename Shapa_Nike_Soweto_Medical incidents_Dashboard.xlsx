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60">
        <f>VALUE(SUBSTITUTE(H4,"Week ",""))</f>
        <v/>
      </c>
      <c r="N4" s="60">
        <f>MATCH(LEFT(E4,3),{"Jan","Feb","Mar","Apr","May","Jun","Jul","Aug","Sep","Oct","Nov","Dec"},0)</f>
        <v/>
      </c>
      <c r="O4" s="61">
        <f>2000+VALUE(RIGHT(E4,2))</f>
        <v/>
      </c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IF(B4="Weekly",SUMPRODUCT((MONTH('Data Entry'!A2:A356)=N4)*(YEAR('Data Entry'!A2:A356)=O4)*(INT((DAY('Data Entry'!A2:A356)-1)/7)+1=M4)*1),IF(B4="Monthly",SUMPRODUCT((MONTH('Data Entry'!A2:A356)=N4)*(YEAR('Data Entry'!A2:A356)=O4)*1),COUNTA('Data Entry'!A2:A356)))</f>
        <v/>
      </c>
      <c r="F7" s="45" t="n"/>
      <c r="G7" s="54" t="inlineStr">
        <is>
          <t>Ambulance</t>
        </is>
      </c>
      <c r="H7" s="56">
        <f>IF(B4="Weekly",SUMPRODUCT((MONTH('Data Entry'!A2:A356)=N4)*(YEAR('Data Entry'!A2:A356)=O4)*(INT((DAY('Data Entry'!A2:A356)-1)/7)+1=M4)*('Data Entry'!J2:J356="Yes")*1),IF(B4="Monthly",SUMPRODUCT((MONTH('Data Entry'!A2:A356)=N4)*(YEAR('Data Entry'!A2:A356)=O4)*('Data Entry'!J2:J356="Yes")*1),COUNTIF('Data Entry'!J2:J356,"Yes")))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2025-12-04T13:13:05Z</dcterms:modified>
  <cp:lastModifiedBy>stephen tapala</cp:lastModifiedBy>
</cp:coreProperties>
</file>