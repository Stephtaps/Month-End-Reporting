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0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  <font>
      <sz val="10"/>
    </font>
    <font>
      <b val="1"/>
      <color rgb="00FFFFFF"/>
      <sz val="14"/>
    </font>
  </fonts>
  <fills count="2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  <fill>
      <patternFill patternType="solid">
        <fgColor rgb="002E75B6"/>
        <bgColor rgb="002E75B6"/>
      </patternFill>
    </fill>
  </fills>
  <borders count="8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  <border>
      <left style="thin"/>
      <right style="thin">
        <color rgb="00DEE2E6"/>
      </right>
      <top style="thin"/>
      <bottom style="thin">
        <color rgb="00DEE2E6"/>
      </bottom>
    </border>
    <border>
      <left/>
      <right style="thin">
        <color rgb="00DEE2E6"/>
      </right>
      <top style="thin"/>
      <bottom/>
      <diagonal/>
    </border>
    <border>
      <left/>
      <right style="thin">
        <color rgb="00DEE2E6"/>
      </right>
      <top style="thin"/>
      <bottom style="thin">
        <color rgb="00DEE2E6"/>
      </bottom>
      <diagonal/>
    </border>
    <border>
      <left style="thin"/>
      <right style="thin">
        <color rgb="00415A77"/>
      </right>
      <top style="thin"/>
      <bottom style="thin">
        <color rgb="00415A77"/>
      </bottom>
    </border>
    <border>
      <left/>
      <right style="thin">
        <color rgb="00415A77"/>
      </right>
      <top style="thin"/>
      <bottom/>
      <diagonal/>
    </border>
    <border>
      <left/>
      <right style="thin">
        <color rgb="00415A77"/>
      </right>
      <top style="thin"/>
      <bottom style="thin">
        <color rgb="00415A77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  <xf numFmtId="0" fontId="14" fillId="0" borderId="9" pivotButton="0" quotePrefix="0" xfId="0"/>
    <xf numFmtId="0" fontId="31" fillId="10" borderId="0" pivotButton="0" quotePrefix="0" xfId="0"/>
    <xf numFmtId="0" fontId="14" fillId="19" borderId="70" applyAlignment="1" pivotButton="0" quotePrefix="0" xfId="0">
      <alignment horizontal="center" vertical="center"/>
    </xf>
    <xf numFmtId="0" fontId="64" fillId="15" borderId="9" applyAlignment="1" pivotButton="0" quotePrefix="0" xfId="0">
      <alignment horizontal="left" vertical="center"/>
    </xf>
    <xf numFmtId="0" fontId="64" fillId="15" borderId="9" applyAlignment="1" pivotButton="0" quotePrefix="0" xfId="0">
      <alignment horizontal="center" vertical="center"/>
    </xf>
    <xf numFmtId="0" fontId="51" fillId="15" borderId="9" applyAlignment="1" pivotButton="0" quotePrefix="0" xfId="0">
      <alignment horizontal="center" vertical="center"/>
    </xf>
    <xf numFmtId="0" fontId="58" fillId="0" borderId="9" applyAlignment="1" pivotButton="0" quotePrefix="0" xfId="0">
      <alignment horizontal="center" vertical="center"/>
    </xf>
    <xf numFmtId="0" fontId="20" fillId="10" borderId="71" applyAlignment="1" pivotButton="0" quotePrefix="0" xfId="0">
      <alignment horizontal="center"/>
    </xf>
    <xf numFmtId="0" fontId="24" fillId="21" borderId="9" applyAlignment="1" pivotButton="0" quotePrefix="0" xfId="0">
      <alignment horizontal="center"/>
    </xf>
    <xf numFmtId="0" fontId="69" fillId="15" borderId="9" applyAlignment="1" pivotButton="0" quotePrefix="0" xfId="0">
      <alignment horizontal="left"/>
    </xf>
    <xf numFmtId="0" fontId="69" fillId="15" borderId="9" applyAlignment="1" pivotButton="0" quotePrefix="0" xfId="0">
      <alignment horizontal="center"/>
    </xf>
    <xf numFmtId="0" fontId="69" fillId="0" borderId="9" applyAlignment="1" pivotButton="0" quotePrefix="0" xfId="0">
      <alignment horizontal="left"/>
    </xf>
    <xf numFmtId="0" fontId="69" fillId="0" borderId="9" applyAlignment="1" pivotButton="0" quotePrefix="0" xfId="0">
      <alignment horizontal="center"/>
    </xf>
    <xf numFmtId="0" fontId="70" fillId="10" borderId="71" applyAlignment="1" pivotButton="0" quotePrefix="0" xfId="0">
      <alignment horizontal="center"/>
    </xf>
    <xf numFmtId="0" fontId="18" fillId="19" borderId="0" applyAlignment="1" pivotButton="0" quotePrefix="0" xfId="0">
      <alignment horizontal="left"/>
    </xf>
    <xf numFmtId="0" fontId="18" fillId="19" borderId="0" applyAlignment="1" pivotButton="0" quotePrefix="0" xfId="0">
      <alignment horizontal="right"/>
    </xf>
    <xf numFmtId="0" fontId="69" fillId="15" borderId="9" applyAlignment="1" pivotButton="0" quotePrefix="0" xfId="0">
      <alignment horizontal="left" vertical="center"/>
    </xf>
    <xf numFmtId="0" fontId="24" fillId="21" borderId="79" applyAlignment="1" pivotButton="0" quotePrefix="0" xfId="0">
      <alignment horizontal="center"/>
    </xf>
    <xf numFmtId="0" fontId="0" fillId="0" borderId="81" pivotButton="0" quotePrefix="0" xfId="0"/>
  </cellXfs>
  <cellStyles count="1">
    <cellStyle name="Normal" xfId="0" builtinId="0"/>
  </cellStyles>
  <dxfs count="6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Data'!$A$6:$A$21</f>
            </numRef>
          </cat>
          <val>
            <numRef>
              <f>'Chart Data'!$B$6:$B$21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Data'!B26</f>
            </strRef>
          </tx>
          <spPr>
            <a:ln>
              <a:prstDash val="solid"/>
            </a:ln>
          </spPr>
          <cat>
            <numRef>
              <f>'Chart Data'!$A$27:$A$47</f>
            </numRef>
          </cat>
          <val>
            <numRef>
              <f>'Chart Data'!$B$27:$B$47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Data'!E26</f>
            </strRef>
          </tx>
          <spPr>
            <a:ln>
              <a:prstDash val="solid"/>
            </a:ln>
          </spPr>
          <cat>
            <numRef>
              <f>'Chart Data'!$D$27:$D$30</f>
            </numRef>
          </cat>
          <val>
            <numRef>
              <f>'Chart Data'!$E$27:$E$30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Data'!H52</f>
            </strRef>
          </tx>
          <spPr>
            <a:ln>
              <a:prstDash val="solid"/>
            </a:ln>
          </spPr>
          <cat>
            <numRef>
              <f>'Chart Data'!$G$53:$G$56</f>
            </numRef>
          </cat>
          <val>
            <numRef>
              <f>'Chart Data'!$H$53:$H$56</f>
            </numRef>
          </val>
        </ser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Data'!K52</f>
            </strRef>
          </tx>
          <spPr>
            <a:ln>
              <a:prstDash val="solid"/>
            </a:ln>
          </spPr>
          <cat>
            <numRef>
              <f>'Chart Data'!$J$53:$J$69</f>
            </numRef>
          </cat>
          <val>
            <numRef>
              <f>'Chart Data'!$K$53:$K$69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Data'!N52</f>
            </strRef>
          </tx>
          <spPr>
            <a:ln>
              <a:prstDash val="solid"/>
            </a:ln>
          </spPr>
          <cat>
            <numRef>
              <f>'Chart Data'!$M$53:$M$59</f>
            </numRef>
          </cat>
          <val>
            <numRef>
              <f>'Chart Data'!$N$53:$N$59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Data'!Q52</f>
            </strRef>
          </tx>
          <spPr>
            <a:ln>
              <a:prstDash val="solid"/>
            </a:ln>
          </spPr>
          <cat>
            <numRef>
              <f>'Chart Data'!$P$53:$P$54</f>
            </numRef>
          </cat>
          <val>
            <numRef>
              <f>'Chart Data'!$Q$53:$Q$54</f>
            </numRef>
          </val>
        </ser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61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31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49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49</row>
      <rowOff>0</rowOff>
    </from>
    <ext cx="61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67</row>
      <rowOff>0</rowOff>
    </from>
    <ext cx="432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67</row>
      <rowOff>0</rowOff>
    </from>
    <ext cx="432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43"/>
  <sheetViews>
    <sheetView showGridLines="0" tabSelected="1" workbookViewId="0">
      <selection pane="bottomLeft" activeCell="A1" sqref="A1"/>
    </sheetView>
  </sheetViews>
  <sheetFormatPr baseColWidth="8" defaultRowHeight="15"/>
  <cols>
    <col width="2" customWidth="1" style="21" min="1" max="1"/>
    <col width="18" customWidth="1" style="21" min="2" max="2"/>
    <col width="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89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90">
        <f>"CURRENT: "&amp;IF(C6="Weekly",E6&amp;" - "&amp;G6,IF(C6="Monthly",E6,IF(C6="Quarterly",I6,"All Time")))</f>
        <v/>
      </c>
      <c r="H117" s="191">
        <f>"vs PREVIOUS: "&amp;IF(C6="Weekly",IF(P6&gt;1,E6&amp;" - Week "&amp;(P6-1),TEXT(DATE(R6,IF(Q6=1,12,Q6-1),1),"MMM-YY")&amp;" - Week 5"),IF(C6="Monthly",TEXT(DATE(IF(Q6=1,R6-1,R6),IF(Q6=1,12,Q6-1),1),"MMM-YY"),IF(C6="Quarterly",INDEX({"Q4","Q1","Q2","Q3"},MATCH(I6,{"Q1","Q2","Q3","Q4"},0)),"")))</f>
        <v/>
      </c>
    </row>
    <row r="118" ht="22" customHeight="1" s="21">
      <c r="B118" s="193" t="inlineStr">
        <is>
          <t>Metric</t>
        </is>
      </c>
      <c r="C118" s="194" t="n"/>
      <c r="D118" s="184" t="inlineStr">
        <is>
          <t>Current</t>
        </is>
      </c>
      <c r="E118" s="184" t="inlineStr">
        <is>
          <t>Previous</t>
        </is>
      </c>
      <c r="F118" s="184" t="inlineStr">
        <is>
          <t>Change</t>
        </is>
      </c>
      <c r="G118" s="184" t="inlineStr">
        <is>
          <t>Trend</t>
        </is>
      </c>
    </row>
    <row r="119" ht="22" customHeight="1" s="21">
      <c r="B119" s="192" t="inlineStr">
        <is>
          <t>Total Incidents</t>
        </is>
      </c>
      <c r="C119" s="71" t="n"/>
      <c r="D119" s="186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86">
        <f>IF(C6="Weekly",IF(P6&gt;1,SUMPRODUCT((MONTH('Data Entry'!A2:A356)=Q6)*(YEAR('Data Entry'!A2:A356)=R6)*(INT((DAY('Data Entry'!A2:A356)-1)/7)+1=P6-1)*1),SUMPRODUCT((MONTH('Data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Entry'!P2:P356=INDEX({"Q4","Q1","Q2","Q3"},MATCH(I6,{"Q1","Q2","Q3","Q4"},0)))*1),0)))</f>
        <v/>
      </c>
      <c r="F119" s="186">
        <f>IFERROR(IF(E119=0,IF(D119=0,"0%","NEW"),TEXT((D119-E119)/E119,"+0%;-0%")),"-")</f>
        <v/>
      </c>
      <c r="G119" s="186">
        <f>IF(D119&gt;E119,"↑ INCREASED",IF(D119&lt;E119,"↓ IMPROVED","→ STEADY"))</f>
        <v/>
      </c>
    </row>
    <row r="120" ht="22" customHeight="1" s="21">
      <c r="B120" s="192" t="inlineStr">
        <is>
          <t>Hospital Transport</t>
        </is>
      </c>
      <c r="C120" s="71" t="n"/>
      <c r="D120" s="186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86">
        <f>IF(C6="Weekly",IF(P6&gt;1,SUMPRODUCT((MONTH('Data Entry'!A2:A356)=Q6)*(YEAR('Data Entry'!A2:A356)=R6)*(INT((DAY('Data Entry'!A2:A356)-1)/7)+1=P6-1)*('Data Entry'!J2:J356="YES")*1),0),IF(C6="Monthly",SUMPRODUCT((MONTH('Data Entry'!A2:A356)=IF(Q6=1,12,Q6-1))*(YEAR('Data Entry'!A2:A356)=IF(Q6=1,R6-1,R6))*('Data Entry'!J2:J356="YES")*1),0))</f>
        <v/>
      </c>
      <c r="F120" s="186">
        <f>IFERROR(IF(E120=0,IF(D120=0,"0%","NEW"),TEXT((D120-E120)/E120,"+0%;-0%")),"-")</f>
        <v/>
      </c>
      <c r="G120" s="186">
        <f>IF(D120&gt;E120,"↑ INCREASED",IF(D120&lt;E120,"↓ IMPROVED","→ STEADY"))</f>
        <v/>
      </c>
    </row>
    <row r="121" ht="22" customHeight="1" s="21">
      <c r="B121" s="192" t="inlineStr">
        <is>
          <t>P1 Critical</t>
        </is>
      </c>
      <c r="C121" s="71" t="n"/>
      <c r="D121" s="186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86">
        <f>IF(C6="Monthly",SUMPRODUCT((MONTH('Data Entry'!A2:A356)=IF(Q6=1,12,Q6-1))*(YEAR('Data Entry'!A2:A356)=IF(Q6=1,R6-1,R6))*('Data Entry'!I2:I356="P1")*1),0)</f>
        <v/>
      </c>
      <c r="F121" s="186">
        <f>IFERROR(IF(E121=0,IF(D121=0,"0%","NEW"),TEXT((D121-E121)/E121,"+0%;-0%")),"-")</f>
        <v/>
      </c>
      <c r="G121" s="186">
        <f>IF(D121&gt;E121,"↑ INCREASED",IF(D121&lt;E121,"↓ IMPROVED","→ STEADY"))</f>
        <v/>
      </c>
    </row>
    <row r="122" ht="22" customHeight="1" s="21">
      <c r="B122" s="192" t="inlineStr">
        <is>
          <t>P2 Urgent</t>
        </is>
      </c>
      <c r="C122" s="71" t="n"/>
      <c r="D122" s="186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86">
        <f>IF(C6="Monthly",SUMPRODUCT((MONTH('Data Entry'!A2:A356)=IF(Q6=1,12,Q6-1))*(YEAR('Data Entry'!A2:A356)=IF(Q6=1,R6-1,R6))*('Data Entry'!I2:I356="P2")*1),0)</f>
        <v/>
      </c>
      <c r="F122" s="186">
        <f>IFERROR(IF(E122=0,IF(D122=0,"0%","NEW"),TEXT((D122-E122)/E122,"+0%;-0%")),"-")</f>
        <v/>
      </c>
      <c r="G122" s="186">
        <f>IF(D122&gt;E122,"↑ INCREASED",IF(D122&lt;E122,"↓ IMPROVED","→ STEADY"))</f>
        <v/>
      </c>
    </row>
    <row r="123" ht="22" customHeight="1" s="21">
      <c r="B123" s="192" t="inlineStr">
        <is>
          <t>P3 Standard</t>
        </is>
      </c>
      <c r="C123" s="71" t="n"/>
      <c r="D123" s="18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86">
        <f>IF(C6="Monthly",SUMPRODUCT((MONTH('Data Entry'!A2:A356)=IF(Q6=1,12,Q6-1))*(YEAR('Data Entry'!A2:A356)=IF(Q6=1,R6-1,R6))*('Data Entry'!I2:I356="P3")*1),0)</f>
        <v/>
      </c>
      <c r="F123" s="186">
        <f>IFERROR(IF(E123=0,IF(D123=0,"0%","NEW"),TEXT((D123-E123)/E123,"+0%;-0%")),"-")</f>
        <v/>
      </c>
      <c r="G123" s="186">
        <f>IF(D123&gt;E123,"↑ INCREASED",IF(D123&lt;E123,"↓ IMPROVED","→ STEADY"))</f>
        <v/>
      </c>
    </row>
    <row r="124" ht="22" customHeight="1" s="21">
      <c r="B124" s="192" t="inlineStr">
        <is>
          <t>Minor Incidents</t>
        </is>
      </c>
      <c r="C124" s="71" t="n"/>
      <c r="D124" s="186">
        <f>IF(C6="Weekly",SUMPRODUCT((MONTH('Data Entry'!A2:A356)=Q6)*(YEAR('Data Entry'!A2:A356)=R6)*(INT((DAY('Data Entry'!A2:A356)-1)/7)+1=P6)*('Data Entry'!J2:J356="NO")*1),IF(C6="Monthly",SUMPRODUCT((MONTH('Data Entry'!A2:A356)=Q6)*(YEAR('Data Entry'!A2:A356)=R6)*('Data Entry'!J2:J356="NO")*1),IF(C6="Quarterly",SUMPRODUCT(('Data Entry'!P2:P356=I6)*('Data Entry'!J2:J356="NO")*1),COUNTIF('Data Entry'!J2:J356,"NO"))))</f>
        <v/>
      </c>
      <c r="E124" s="186">
        <f>IF(C6="Monthly",SUMPRODUCT((MONTH('Data Entry'!A2:A356)=IF(Q6=1,12,Q6-1))*(YEAR('Data Entry'!A2:A356)=IF(Q6=1,R6-1,R6))*('Data Entry'!J2:J356="NO")*1),0)</f>
        <v/>
      </c>
      <c r="F124" s="186">
        <f>IFERROR(IF(E124=0,IF(D124=0,"0%","NEW"),TEXT((D124-E124)/E124,"+0%;-0%")),"-")</f>
        <v/>
      </c>
      <c r="G124" s="186">
        <f>IF(D124&gt;E124,"↑ INCREASED",IF(D124&lt;E124,"↓ IMPROVED","→ STEADY"))</f>
        <v/>
      </c>
    </row>
    <row r="125" ht="15" customHeight="1" s="21"/>
    <row r="126" ht="22" customHeight="1" s="21">
      <c r="B126" s="183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84" t="inlineStr">
        <is>
          <t>Venue</t>
        </is>
      </c>
      <c r="C127" s="71" t="n"/>
      <c r="D127" s="184" t="inlineStr">
        <is>
          <t>Current</t>
        </is>
      </c>
      <c r="E127" s="184" t="inlineStr">
        <is>
          <t>Previous</t>
        </is>
      </c>
      <c r="F127" s="184" t="inlineStr">
        <is>
          <t>Change</t>
        </is>
      </c>
      <c r="G127" s="184" t="inlineStr">
        <is>
          <t>Trend</t>
        </is>
      </c>
    </row>
    <row r="128" ht="20" customHeight="1" s="21">
      <c r="B128" s="185" t="inlineStr">
        <is>
          <t>Skate Park</t>
        </is>
      </c>
      <c r="C128" s="71" t="n"/>
      <c r="D128" s="186">
        <f>IF(C6="Weekly",SUMPRODUCT((MONTH('Data Entry'!A2:A356)=Q6)*(YEAR('Data Entry'!A2:A356)=R6)*(INT((DAY('Data Entry'!A2:A356)-1)/7)+1=P6)*('Data Entry'!F2:F356=B128)*1),IF(C6="Monthly",SUMPRODUCT((MONTH('Data Entry'!A2:A356)=Q6)*(YEAR('Data Entry'!A2:A356)=R6)*('Data Entry'!F2:F356=B128)*1),IF(C6="Quarterly",SUMPRODUCT(('Data Entry'!P2:P356=I6)*('Data Entry'!F2:F356=B128)*1),COUNTIF('Data Entry'!F2:F356,B128))))</f>
        <v/>
      </c>
      <c r="E128" s="186">
        <f>IF(C6="Weekly",IF(P6&gt;1,SUMPRODUCT((MONTH('Data Entry'!A2:A356)=Q6)*(YEAR('Data Entry'!A2:A356)=R6)*(INT((DAY('Data Entry'!A2:A356)-1)/7)+1=P6-1)*('Data Entry'!F2:F356=B128)*1),SUMPRODUCT((MONTH('Data Entry'!A2:A356)=IF(Q6=1,12,Q6-1))*(YEAR('Data Entry'!A2:A356)=IF(Q6=1,R6-1,R6))*(INT((DAY('Data Entry'!A2:A356)-1)/7)+1=5)*('Data Entry'!F2:F356=B128)*1)),IF(C6="Monthly",SUMPRODUCT((MONTH('Data Entry'!A2:A356)=IF(Q6=1,12,Q6-1))*(YEAR('Data Entry'!A2:A356)=IF(Q6=1,R6-1,R6))*('Data Entry'!F2:F356=B128)*1),IF(C6="Quarterly",SUMPRODUCT(('Data Entry'!P2:P356=INDEX({"Q4","Q1","Q2","Q3"},MATCH(I6,{"Q1","Q2","Q3","Q4"},0)))*('Data Entry'!F2:F356=B128)*1),0)))</f>
        <v/>
      </c>
      <c r="F128" s="186">
        <f>IFERROR(IF(E128=0,IF(D128=0,"0%","NEW"),TEXT((D128-E128)/E128,"+0%;-0%")),"-")</f>
        <v/>
      </c>
      <c r="G128" s="186">
        <f>IF(D128&gt;E128,"↑ UP",IF(D128&lt;E128,"↓ DOWN","→ SAME"))</f>
        <v/>
      </c>
    </row>
    <row r="129" ht="20" customHeight="1" s="21">
      <c r="B129" s="185" t="inlineStr">
        <is>
          <t xml:space="preserve">5 A side </t>
        </is>
      </c>
      <c r="C129" s="71" t="n"/>
      <c r="D129" s="186">
        <f>IF(C6="Weekly",SUMPRODUCT((MONTH('Data Entry'!A2:A356)=Q6)*(YEAR('Data Entry'!A2:A356)=R6)*(INT((DAY('Data Entry'!A2:A356)-1)/7)+1=P6)*('Data Entry'!F2:F356=B129)*1),IF(C6="Monthly",SUMPRODUCT((MONTH('Data Entry'!A2:A356)=Q6)*(YEAR('Data Entry'!A2:A356)=R6)*('Data Entry'!F2:F356=B129)*1),IF(C6="Quarterly",SUMPRODUCT(('Data Entry'!P2:P356=I6)*('Data Entry'!F2:F356=B129)*1),COUNTIF('Data Entry'!F2:F356,B129))))</f>
        <v/>
      </c>
      <c r="E129" s="186">
        <f>IF(C6="Weekly",IF(P6&gt;1,SUMPRODUCT((MONTH('Data Entry'!A2:A356)=Q6)*(YEAR('Data Entry'!A2:A356)=R6)*(INT((DAY('Data Entry'!A2:A356)-1)/7)+1=P6-1)*('Data Entry'!F2:F356=B129)*1),SUMPRODUCT((MONTH('Data Entry'!A2:A356)=IF(Q6=1,12,Q6-1))*(YEAR('Data Entry'!A2:A356)=IF(Q6=1,R6-1,R6))*(INT((DAY('Data Entry'!A2:A356)-1)/7)+1=5)*('Data Entry'!F2:F356=B129)*1)),IF(C6="Monthly",SUMPRODUCT((MONTH('Data Entry'!A2:A356)=IF(Q6=1,12,Q6-1))*(YEAR('Data Entry'!A2:A356)=IF(Q6=1,R6-1,R6))*('Data Entry'!F2:F356=B129)*1),IF(C6="Quarterly",SUMPRODUCT(('Data Entry'!P2:P356=INDEX({"Q4","Q1","Q2","Q3"},MATCH(I6,{"Q1","Q2","Q3","Q4"},0)))*('Data Entry'!F2:F356=B129)*1),0)))</f>
        <v/>
      </c>
      <c r="F129" s="186">
        <f>IFERROR(IF(E129=0,IF(D129=0,"0%","NEW"),TEXT((D129-E129)/E129,"+0%;-0%")),"-")</f>
        <v/>
      </c>
      <c r="G129" s="186">
        <f>IF(D129&gt;E129,"↑ UP",IF(D129&lt;E129,"↓ DOWN","→ SAME"))</f>
        <v/>
      </c>
    </row>
    <row r="130" ht="20" customHeight="1" s="21">
      <c r="B130" s="185" t="inlineStr">
        <is>
          <t>Basketball</t>
        </is>
      </c>
      <c r="C130" s="71" t="n"/>
      <c r="D130" s="186">
        <f>IF(C6="Weekly",SUMPRODUCT((MONTH('Data Entry'!A2:A356)=Q6)*(YEAR('Data Entry'!A2:A356)=R6)*(INT((DAY('Data Entry'!A2:A356)-1)/7)+1=P6)*('Data Entry'!F2:F356=B130)*1),IF(C6="Monthly",SUMPRODUCT((MONTH('Data Entry'!A2:A356)=Q6)*(YEAR('Data Entry'!A2:A356)=R6)*('Data Entry'!F2:F356=B130)*1),IF(C6="Quarterly",SUMPRODUCT(('Data Entry'!P2:P356=I6)*('Data Entry'!F2:F356=B130)*1),COUNTIF('Data Entry'!F2:F356,B130))))</f>
        <v/>
      </c>
      <c r="E130" s="186">
        <f>IF(C6="Weekly",IF(P6&gt;1,SUMPRODUCT((MONTH('Data Entry'!A2:A356)=Q6)*(YEAR('Data Entry'!A2:A356)=R6)*(INT((DAY('Data Entry'!A2:A356)-1)/7)+1=P6-1)*('Data Entry'!F2:F356=B130)*1),SUMPRODUCT((MONTH('Data Entry'!A2:A356)=IF(Q6=1,12,Q6-1))*(YEAR('Data Entry'!A2:A356)=IF(Q6=1,R6-1,R6))*(INT((DAY('Data Entry'!A2:A356)-1)/7)+1=5)*('Data Entry'!F2:F356=B130)*1)),IF(C6="Monthly",SUMPRODUCT((MONTH('Data Entry'!A2:A356)=IF(Q6=1,12,Q6-1))*(YEAR('Data Entry'!A2:A356)=IF(Q6=1,R6-1,R6))*('Data Entry'!F2:F356=B130)*1),IF(C6="Quarterly",SUMPRODUCT(('Data Entry'!P2:P356=INDEX({"Q4","Q1","Q2","Q3"},MATCH(I6,{"Q1","Q2","Q3","Q4"},0)))*('Data Entry'!F2:F356=B130)*1),0)))</f>
        <v/>
      </c>
      <c r="F130" s="186">
        <f>IFERROR(IF(E130=0,IF(D130=0,"0%","NEW"),TEXT((D130-E130)/E130,"+0%;-0%")),"-")</f>
        <v/>
      </c>
      <c r="G130" s="186">
        <f>IF(D130&gt;E130,"↑ UP",IF(D130&lt;E130,"↓ DOWN","→ SAME"))</f>
        <v/>
      </c>
    </row>
    <row r="131" ht="20" customHeight="1" s="21">
      <c r="B131" s="185" t="inlineStr">
        <is>
          <t>Outdoor gym</t>
        </is>
      </c>
      <c r="C131" s="71" t="n"/>
      <c r="D131" s="186">
        <f>IF(C6="Weekly",SUMPRODUCT((MONTH('Data Entry'!A2:A356)=Q6)*(YEAR('Data Entry'!A2:A356)=R6)*(INT((DAY('Data Entry'!A2:A356)-1)/7)+1=P6)*('Data Entry'!F2:F356=B131)*1),IF(C6="Monthly",SUMPRODUCT((MONTH('Data Entry'!A2:A356)=Q6)*(YEAR('Data Entry'!A2:A356)=R6)*('Data Entry'!F2:F356=B131)*1),IF(C6="Quarterly",SUMPRODUCT(('Data Entry'!P2:P356=I6)*('Data Entry'!F2:F356=B131)*1),COUNTIF('Data Entry'!F2:F356,B131))))</f>
        <v/>
      </c>
      <c r="E131" s="186">
        <f>IF(C6="Weekly",IF(P6&gt;1,SUMPRODUCT((MONTH('Data Entry'!A2:A356)=Q6)*(YEAR('Data Entry'!A2:A356)=R6)*(INT((DAY('Data Entry'!A2:A356)-1)/7)+1=P6-1)*('Data Entry'!F2:F356=B131)*1),SUMPRODUCT((MONTH('Data Entry'!A2:A356)=IF(Q6=1,12,Q6-1))*(YEAR('Data Entry'!A2:A356)=IF(Q6=1,R6-1,R6))*(INT((DAY('Data Entry'!A2:A356)-1)/7)+1=5)*('Data Entry'!F2:F356=B131)*1)),IF(C6="Monthly",SUMPRODUCT((MONTH('Data Entry'!A2:A356)=IF(Q6=1,12,Q6-1))*(YEAR('Data Entry'!A2:A356)=IF(Q6=1,R6-1,R6))*('Data Entry'!F2:F356=B131)*1),IF(C6="Quarterly",SUMPRODUCT(('Data Entry'!P2:P356=INDEX({"Q4","Q1","Q2","Q3"},MATCH(I6,{"Q1","Q2","Q3","Q4"},0)))*('Data Entry'!F2:F356=B131)*1),0)))</f>
        <v/>
      </c>
      <c r="F131" s="186">
        <f>IFERROR(IF(E131=0,IF(D131=0,"0%","NEW"),TEXT((D131-E131)/E131,"+0%;-0%")),"-")</f>
        <v/>
      </c>
      <c r="G131" s="186">
        <f>IF(D131&gt;E131,"↑ UP",IF(D131&lt;E131,"↓ DOWN","→ SAME"))</f>
        <v/>
      </c>
    </row>
    <row r="132" ht="20" customHeight="1" s="21">
      <c r="B132" s="185" t="inlineStr">
        <is>
          <t xml:space="preserve">JDI Studio </t>
        </is>
      </c>
      <c r="C132" s="71" t="n"/>
      <c r="D132" s="186">
        <f>IF(C6="Weekly",SUMPRODUCT((MONTH('Data Entry'!A2:A356)=Q6)*(YEAR('Data Entry'!A2:A356)=R6)*(INT((DAY('Data Entry'!A2:A356)-1)/7)+1=P6)*('Data Entry'!F2:F356=B132)*1),IF(C6="Monthly",SUMPRODUCT((MONTH('Data Entry'!A2:A356)=Q6)*(YEAR('Data Entry'!A2:A356)=R6)*('Data Entry'!F2:F356=B132)*1),IF(C6="Quarterly",SUMPRODUCT(('Data Entry'!P2:P356=I6)*('Data Entry'!F2:F356=B132)*1),COUNTIF('Data Entry'!F2:F356,B132))))</f>
        <v/>
      </c>
      <c r="E132" s="186">
        <f>IF(C6="Weekly",IF(P6&gt;1,SUMPRODUCT((MONTH('Data Entry'!A2:A356)=Q6)*(YEAR('Data Entry'!A2:A356)=R6)*(INT((DAY('Data Entry'!A2:A356)-1)/7)+1=P6-1)*('Data Entry'!F2:F356=B132)*1),SUMPRODUCT((MONTH('Data Entry'!A2:A356)=IF(Q6=1,12,Q6-1))*(YEAR('Data Entry'!A2:A356)=IF(Q6=1,R6-1,R6))*(INT((DAY('Data Entry'!A2:A356)-1)/7)+1=5)*('Data Entry'!F2:F356=B132)*1)),IF(C6="Monthly",SUMPRODUCT((MONTH('Data Entry'!A2:A356)=IF(Q6=1,12,Q6-1))*(YEAR('Data Entry'!A2:A356)=IF(Q6=1,R6-1,R6))*('Data Entry'!F2:F356=B132)*1),IF(C6="Quarterly",SUMPRODUCT(('Data Entry'!P2:P356=INDEX({"Q4","Q1","Q2","Q3"},MATCH(I6,{"Q1","Q2","Q3","Q4"},0)))*('Data Entry'!F2:F356=B132)*1),0)))</f>
        <v/>
      </c>
      <c r="F132" s="186">
        <f>IFERROR(IF(E132=0,IF(D132=0,"0%","NEW"),TEXT((D132-E132)/E132,"+0%;-0%")),"-")</f>
        <v/>
      </c>
      <c r="G132" s="186">
        <f>IF(D132&gt;E132,"↑ UP",IF(D132&lt;E132,"↓ DOWN","→ SAME"))</f>
        <v/>
      </c>
    </row>
    <row r="133" ht="20" customHeight="1" s="21">
      <c r="B133" s="185" t="inlineStr">
        <is>
          <t>PHINDA Studio</t>
        </is>
      </c>
      <c r="C133" s="71" t="n"/>
      <c r="D133" s="186">
        <f>IF(C6="Weekly",SUMPRODUCT((MONTH('Data Entry'!A2:A356)=Q6)*(YEAR('Data Entry'!A2:A356)=R6)*(INT((DAY('Data Entry'!A2:A356)-1)/7)+1=P6)*('Data Entry'!F2:F356=B133)*1),IF(C6="Monthly",SUMPRODUCT((MONTH('Data Entry'!A2:A356)=Q6)*(YEAR('Data Entry'!A2:A356)=R6)*('Data Entry'!F2:F356=B133)*1),IF(C6="Quarterly",SUMPRODUCT(('Data Entry'!P2:P356=I6)*('Data Entry'!F2:F356=B133)*1),COUNTIF('Data Entry'!F2:F356,B133))))</f>
        <v/>
      </c>
      <c r="E133" s="186">
        <f>IF(C6="Weekly",IF(P6&gt;1,SUMPRODUCT((MONTH('Data Entry'!A2:A356)=Q6)*(YEAR('Data Entry'!A2:A356)=R6)*(INT((DAY('Data Entry'!A2:A356)-1)/7)+1=P6-1)*('Data Entry'!F2:F356=B133)*1),SUMPRODUCT((MONTH('Data Entry'!A2:A356)=IF(Q6=1,12,Q6-1))*(YEAR('Data Entry'!A2:A356)=IF(Q6=1,R6-1,R6))*(INT((DAY('Data Entry'!A2:A356)-1)/7)+1=5)*('Data Entry'!F2:F356=B133)*1)),IF(C6="Monthly",SUMPRODUCT((MONTH('Data Entry'!A2:A356)=IF(Q6=1,12,Q6-1))*(YEAR('Data Entry'!A2:A356)=IF(Q6=1,R6-1,R6))*('Data Entry'!F2:F356=B133)*1),IF(C6="Quarterly",SUMPRODUCT(('Data Entry'!P2:P356=INDEX({"Q4","Q1","Q2","Q3"},MATCH(I6,{"Q1","Q2","Q3","Q4"},0)))*('Data Entry'!F2:F356=B133)*1),0)))</f>
        <v/>
      </c>
      <c r="F133" s="186">
        <f>IFERROR(IF(E133=0,IF(D133=0,"0%","NEW"),TEXT((D133-E133)/E133,"+0%;-0%")),"-")</f>
        <v/>
      </c>
      <c r="G133" s="186">
        <f>IF(D133&gt;E133,"↑ UP",IF(D133&lt;E133,"↓ DOWN","→ SAME"))</f>
        <v/>
      </c>
    </row>
    <row r="134" ht="20" customHeight="1" s="21">
      <c r="B134" s="185" t="inlineStr">
        <is>
          <t>PHAMBILI Studio</t>
        </is>
      </c>
      <c r="C134" s="71" t="n"/>
      <c r="D134" s="186">
        <f>IF(C6="Weekly",SUMPRODUCT((MONTH('Data Entry'!A2:A356)=Q6)*(YEAR('Data Entry'!A2:A356)=R6)*(INT((DAY('Data Entry'!A2:A356)-1)/7)+1=P6)*('Data Entry'!F2:F356=B134)*1),IF(C6="Monthly",SUMPRODUCT((MONTH('Data Entry'!A2:A356)=Q6)*(YEAR('Data Entry'!A2:A356)=R6)*('Data Entry'!F2:F356=B134)*1),IF(C6="Quarterly",SUMPRODUCT(('Data Entry'!P2:P356=I6)*('Data Entry'!F2:F356=B134)*1),COUNTIF('Data Entry'!F2:F356,B134))))</f>
        <v/>
      </c>
      <c r="E134" s="186">
        <f>IF(C6="Weekly",IF(P6&gt;1,SUMPRODUCT((MONTH('Data Entry'!A2:A356)=Q6)*(YEAR('Data Entry'!A2:A356)=R6)*(INT((DAY('Data Entry'!A2:A356)-1)/7)+1=P6-1)*('Data Entry'!F2:F356=B134)*1),SUMPRODUCT((MONTH('Data Entry'!A2:A356)=IF(Q6=1,12,Q6-1))*(YEAR('Data Entry'!A2:A356)=IF(Q6=1,R6-1,R6))*(INT((DAY('Data Entry'!A2:A356)-1)/7)+1=5)*('Data Entry'!F2:F356=B134)*1)),IF(C6="Monthly",SUMPRODUCT((MONTH('Data Entry'!A2:A356)=IF(Q6=1,12,Q6-1))*(YEAR('Data Entry'!A2:A356)=IF(Q6=1,R6-1,R6))*('Data Entry'!F2:F356=B134)*1),IF(C6="Quarterly",SUMPRODUCT(('Data Entry'!P2:P356=INDEX({"Q4","Q1","Q2","Q3"},MATCH(I6,{"Q1","Q2","Q3","Q4"},0)))*('Data Entry'!F2:F356=B134)*1),0)))</f>
        <v/>
      </c>
      <c r="F134" s="186">
        <f>IFERROR(IF(E134=0,IF(D134=0,"0%","NEW"),TEXT((D134-E134)/E134,"+0%;-0%")),"-")</f>
        <v/>
      </c>
      <c r="G134" s="186">
        <f>IF(D134&gt;E134,"↑ UP",IF(D134&lt;E134,"↓ DOWN","→ SAME"))</f>
        <v/>
      </c>
    </row>
    <row r="135" ht="20" customHeight="1" s="21">
      <c r="B135" s="185" t="inlineStr">
        <is>
          <t xml:space="preserve">11- A side </t>
        </is>
      </c>
      <c r="C135" s="71" t="n"/>
      <c r="D135" s="186">
        <f>IF(C6="Weekly",SUMPRODUCT((MONTH('Data Entry'!A2:A356)=Q6)*(YEAR('Data Entry'!A2:A356)=R6)*(INT((DAY('Data Entry'!A2:A356)-1)/7)+1=P6)*('Data Entry'!F2:F356=B135)*1),IF(C6="Monthly",SUMPRODUCT((MONTH('Data Entry'!A2:A356)=Q6)*(YEAR('Data Entry'!A2:A356)=R6)*('Data Entry'!F2:F356=B135)*1),IF(C6="Quarterly",SUMPRODUCT(('Data Entry'!P2:P356=I6)*('Data Entry'!F2:F356=B135)*1),COUNTIF('Data Entry'!F2:F356,B135))))</f>
        <v/>
      </c>
      <c r="E135" s="186">
        <f>IF(C6="Weekly",IF(P6&gt;1,SUMPRODUCT((MONTH('Data Entry'!A2:A356)=Q6)*(YEAR('Data Entry'!A2:A356)=R6)*(INT((DAY('Data Entry'!A2:A356)-1)/7)+1=P6-1)*('Data Entry'!F2:F356=B135)*1),SUMPRODUCT((MONTH('Data Entry'!A2:A356)=IF(Q6=1,12,Q6-1))*(YEAR('Data Entry'!A2:A356)=IF(Q6=1,R6-1,R6))*(INT((DAY('Data Entry'!A2:A356)-1)/7)+1=5)*('Data Entry'!F2:F356=B135)*1)),IF(C6="Monthly",SUMPRODUCT((MONTH('Data Entry'!A2:A356)=IF(Q6=1,12,Q6-1))*(YEAR('Data Entry'!A2:A356)=IF(Q6=1,R6-1,R6))*('Data Entry'!F2:F356=B135)*1),IF(C6="Quarterly",SUMPRODUCT(('Data Entry'!P2:P356=INDEX({"Q4","Q1","Q2","Q3"},MATCH(I6,{"Q1","Q2","Q3","Q4"},0)))*('Data Entry'!F2:F356=B135)*1),0)))</f>
        <v/>
      </c>
      <c r="F135" s="186">
        <f>IFERROR(IF(E135=0,IF(D135=0,"0%","NEW"),TEXT((D135-E135)/E135,"+0%;-0%")),"-")</f>
        <v/>
      </c>
      <c r="G135" s="186">
        <f>IF(D135&gt;E135,"↑ UP",IF(D135&lt;E135,"↓ DOWN","→ SAME"))</f>
        <v/>
      </c>
    </row>
    <row r="136" ht="20" customHeight="1" s="21">
      <c r="B136" s="185" t="inlineStr">
        <is>
          <t>Athletics track</t>
        </is>
      </c>
      <c r="C136" s="71" t="n"/>
      <c r="D136" s="186">
        <f>IF(C6="Weekly",SUMPRODUCT((MONTH('Data Entry'!A2:A356)=Q6)*(YEAR('Data Entry'!A2:A356)=R6)*(INT((DAY('Data Entry'!A2:A356)-1)/7)+1=P6)*('Data Entry'!F2:F356=B136)*1),IF(C6="Monthly",SUMPRODUCT((MONTH('Data Entry'!A2:A356)=Q6)*(YEAR('Data Entry'!A2:A356)=R6)*('Data Entry'!F2:F356=B136)*1),IF(C6="Quarterly",SUMPRODUCT(('Data Entry'!P2:P356=I6)*('Data Entry'!F2:F356=B136)*1),COUNTIF('Data Entry'!F2:F356,B136))))</f>
        <v/>
      </c>
      <c r="E136" s="186">
        <f>IF(C6="Weekly",IF(P6&gt;1,SUMPRODUCT((MONTH('Data Entry'!A2:A356)=Q6)*(YEAR('Data Entry'!A2:A356)=R6)*(INT((DAY('Data Entry'!A2:A356)-1)/7)+1=P6-1)*('Data Entry'!F2:F356=B136)*1),SUMPRODUCT((MONTH('Data Entry'!A2:A356)=IF(Q6=1,12,Q6-1))*(YEAR('Data Entry'!A2:A356)=IF(Q6=1,R6-1,R6))*(INT((DAY('Data Entry'!A2:A356)-1)/7)+1=5)*('Data Entry'!F2:F356=B136)*1)),IF(C6="Monthly",SUMPRODUCT((MONTH('Data Entry'!A2:A356)=IF(Q6=1,12,Q6-1))*(YEAR('Data Entry'!A2:A356)=IF(Q6=1,R6-1,R6))*('Data Entry'!F2:F356=B136)*1),IF(C6="Quarterly",SUMPRODUCT(('Data Entry'!P2:P356=INDEX({"Q4","Q1","Q2","Q3"},MATCH(I6,{"Q1","Q2","Q3","Q4"},0)))*('Data Entry'!F2:F356=B136)*1),0)))</f>
        <v/>
      </c>
      <c r="F136" s="186">
        <f>IFERROR(IF(E136=0,IF(D136=0,"0%","NEW"),TEXT((D136-E136)/E136,"+0%;-0%")),"-")</f>
        <v/>
      </c>
      <c r="G136" s="186">
        <f>IF(D136&gt;E136,"↑ UP",IF(D136&lt;E136,"↓ DOWN","→ SAME"))</f>
        <v/>
      </c>
    </row>
    <row r="137" ht="15" customHeight="1" s="21">
      <c r="B137" s="187" t="inlineStr">
        <is>
          <t>Registration area</t>
        </is>
      </c>
      <c r="C137" s="71" t="n"/>
      <c r="D137" s="188">
        <f>IF(C6="Weekly",SUMPRODUCT((MONTH('Data Entry'!A2:A356)=Q6)*(YEAR('Data Entry'!A2:A356)=R6)*(INT((DAY('Data Entry'!A2:A356)-1)/7)+1=P6)*('Data Entry'!F2:F356=B137)*1),IF(C6="Monthly",SUMPRODUCT((MONTH('Data Entry'!A2:A356)=Q6)*(YEAR('Data Entry'!A2:A356)=R6)*('Data Entry'!F2:F356=B137)*1),IF(C6="Quarterly",SUMPRODUCT(('Data Entry'!P2:P356=I6)*('Data Entry'!F2:F356=B137)*1),COUNTIF('Data Entry'!F2:F356,B137))))</f>
        <v/>
      </c>
      <c r="E137" s="188">
        <f>IF(C6="Weekly",IF(P6&gt;1,SUMPRODUCT((MONTH('Data Entry'!A2:A356)=Q6)*(YEAR('Data Entry'!A2:A356)=R6)*(INT((DAY('Data Entry'!A2:A356)-1)/7)+1=P6-1)*('Data Entry'!F2:F356=B137)*1),SUMPRODUCT((MONTH('Data Entry'!A2:A356)=IF(Q6=1,12,Q6-1))*(YEAR('Data Entry'!A2:A356)=IF(Q6=1,R6-1,R6))*(INT((DAY('Data Entry'!A2:A356)-1)/7)+1=5)*('Data Entry'!F2:F356=B137)*1)),IF(C6="Monthly",SUMPRODUCT((MONTH('Data Entry'!A2:A356)=IF(Q6=1,12,Q6-1))*(YEAR('Data Entry'!A2:A356)=IF(Q6=1,R6-1,R6))*('Data Entry'!F2:F356=B137)*1),IF(C6="Quarterly",SUMPRODUCT(('Data Entry'!P2:P356=INDEX({"Q4","Q1","Q2","Q3"},MATCH(I6,{"Q1","Q2","Q3","Q4"},0)))*('Data Entry'!F2:F356=B137)*1),0)))</f>
        <v/>
      </c>
      <c r="F137" s="188">
        <f>IFERROR(IF(E137=0,IF(D137=0,"0%","NEW"),TEXT((D137-E137)/E137,"+0%;-0%")),"-")</f>
        <v/>
      </c>
      <c r="G137" s="188">
        <f>IF(D137&gt;E137,"↑ UP",IF(D137&lt;E137,"↓ DOWN","→ SAME"))</f>
        <v/>
      </c>
    </row>
    <row r="138">
      <c r="B138" s="187" t="inlineStr">
        <is>
          <t xml:space="preserve">Car parking </t>
        </is>
      </c>
      <c r="C138" s="71" t="n"/>
      <c r="D138" s="188">
        <f>IF(C6="Weekly",SUMPRODUCT((MONTH('Data Entry'!A2:A356)=Q6)*(YEAR('Data Entry'!A2:A356)=R6)*(INT((DAY('Data Entry'!A2:A356)-1)/7)+1=P6)*('Data Entry'!F2:F356=B138)*1),IF(C6="Monthly",SUMPRODUCT((MONTH('Data Entry'!A2:A356)=Q6)*(YEAR('Data Entry'!A2:A356)=R6)*('Data Entry'!F2:F356=B138)*1),IF(C6="Quarterly",SUMPRODUCT(('Data Entry'!P2:P356=I6)*('Data Entry'!F2:F356=B138)*1),COUNTIF('Data Entry'!F2:F356,B138))))</f>
        <v/>
      </c>
      <c r="E138" s="188">
        <f>IF(C6="Weekly",IF(P6&gt;1,SUMPRODUCT((MONTH('Data Entry'!A2:A356)=Q6)*(YEAR('Data Entry'!A2:A356)=R6)*(INT((DAY('Data Entry'!A2:A356)-1)/7)+1=P6-1)*('Data Entry'!F2:F356=B138)*1),SUMPRODUCT((MONTH('Data Entry'!A2:A356)=IF(Q6=1,12,Q6-1))*(YEAR('Data Entry'!A2:A356)=IF(Q6=1,R6-1,R6))*(INT((DAY('Data Entry'!A2:A356)-1)/7)+1=5)*('Data Entry'!F2:F356=B138)*1)),IF(C6="Monthly",SUMPRODUCT((MONTH('Data Entry'!A2:A356)=IF(Q6=1,12,Q6-1))*(YEAR('Data Entry'!A2:A356)=IF(Q6=1,R6-1,R6))*('Data Entry'!F2:F356=B138)*1),IF(C6="Quarterly",SUMPRODUCT(('Data Entry'!P2:P356=INDEX({"Q4","Q1","Q2","Q3"},MATCH(I6,{"Q1","Q2","Q3","Q4"},0)))*('Data Entry'!F2:F356=B138)*1),0)))</f>
        <v/>
      </c>
      <c r="F138" s="188">
        <f>IFERROR(IF(E138=0,IF(D138=0,"0%","NEW"),TEXT((D138-E138)/E138,"+0%;-0%")),"-")</f>
        <v/>
      </c>
      <c r="G138" s="188">
        <f>IF(D138&gt;E138,"↑ UP",IF(D138&lt;E138,"↓ DOWN","→ SAME"))</f>
        <v/>
      </c>
    </row>
    <row r="139">
      <c r="B139" s="187" t="inlineStr">
        <is>
          <t>Change Rooms</t>
        </is>
      </c>
      <c r="C139" s="71" t="n"/>
      <c r="D139" s="188">
        <f>IF(C6="Weekly",SUMPRODUCT((MONTH('Data Entry'!A2:A356)=Q6)*(YEAR('Data Entry'!A2:A356)=R6)*(INT((DAY('Data Entry'!A2:A356)-1)/7)+1=P6)*('Data Entry'!F2:F356=B139)*1),IF(C6="Monthly",SUMPRODUCT((MONTH('Data Entry'!A2:A356)=Q6)*(YEAR('Data Entry'!A2:A356)=R6)*('Data Entry'!F2:F356=B139)*1),IF(C6="Quarterly",SUMPRODUCT(('Data Entry'!P2:P356=I6)*('Data Entry'!F2:F356=B139)*1),COUNTIF('Data Entry'!F2:F356,B139))))</f>
        <v/>
      </c>
      <c r="E139" s="188">
        <f>IF(C6="Weekly",IF(P6&gt;1,SUMPRODUCT((MONTH('Data Entry'!A2:A356)=Q6)*(YEAR('Data Entry'!A2:A356)=R6)*(INT((DAY('Data Entry'!A2:A356)-1)/7)+1=P6-1)*('Data Entry'!F2:F356=B139)*1),SUMPRODUCT((MONTH('Data Entry'!A2:A356)=IF(Q6=1,12,Q6-1))*(YEAR('Data Entry'!A2:A356)=IF(Q6=1,R6-1,R6))*(INT((DAY('Data Entry'!A2:A356)-1)/7)+1=5)*('Data Entry'!F2:F356=B139)*1)),IF(C6="Monthly",SUMPRODUCT((MONTH('Data Entry'!A2:A356)=IF(Q6=1,12,Q6-1))*(YEAR('Data Entry'!A2:A356)=IF(Q6=1,R6-1,R6))*('Data Entry'!F2:F356=B139)*1),IF(C6="Quarterly",SUMPRODUCT(('Data Entry'!P2:P356=INDEX({"Q4","Q1","Q2","Q3"},MATCH(I6,{"Q1","Q2","Q3","Q4"},0)))*('Data Entry'!F2:F356=B139)*1),0)))</f>
        <v/>
      </c>
      <c r="F139" s="188">
        <f>IFERROR(IF(E139=0,IF(D139=0,"0%","NEW"),TEXT((D139-E139)/E139,"+0%;-0%")),"-")</f>
        <v/>
      </c>
      <c r="G139" s="188">
        <f>IF(D139&gt;E139,"↑ UP",IF(D139&lt;E139,"↓ DOWN","→ SAME"))</f>
        <v/>
      </c>
    </row>
    <row r="140">
      <c r="B140" s="187" t="inlineStr">
        <is>
          <t>Equipment Rooms</t>
        </is>
      </c>
      <c r="C140" s="71" t="n"/>
      <c r="D140" s="188">
        <f>IF(C6="Weekly",SUMPRODUCT((MONTH('Data Entry'!A2:A356)=Q6)*(YEAR('Data Entry'!A2:A356)=R6)*(INT((DAY('Data Entry'!A2:A356)-1)/7)+1=P6)*('Data Entry'!F2:F356=B140)*1),IF(C6="Monthly",SUMPRODUCT((MONTH('Data Entry'!A2:A356)=Q6)*(YEAR('Data Entry'!A2:A356)=R6)*('Data Entry'!F2:F356=B140)*1),IF(C6="Quarterly",SUMPRODUCT(('Data Entry'!P2:P356=I6)*('Data Entry'!F2:F356=B140)*1),COUNTIF('Data Entry'!F2:F356,B140))))</f>
        <v/>
      </c>
      <c r="E140" s="188">
        <f>IF(C6="Weekly",IF(P6&gt;1,SUMPRODUCT((MONTH('Data Entry'!A2:A356)=Q6)*(YEAR('Data Entry'!A2:A356)=R6)*(INT((DAY('Data Entry'!A2:A356)-1)/7)+1=P6-1)*('Data Entry'!F2:F356=B140)*1),SUMPRODUCT((MONTH('Data Entry'!A2:A356)=IF(Q6=1,12,Q6-1))*(YEAR('Data Entry'!A2:A356)=IF(Q6=1,R6-1,R6))*(INT((DAY('Data Entry'!A2:A356)-1)/7)+1=5)*('Data Entry'!F2:F356=B140)*1)),IF(C6="Monthly",SUMPRODUCT((MONTH('Data Entry'!A2:A356)=IF(Q6=1,12,Q6-1))*(YEAR('Data Entry'!A2:A356)=IF(Q6=1,R6-1,R6))*('Data Entry'!F2:F356=B140)*1),IF(C6="Quarterly",SUMPRODUCT(('Data Entry'!P2:P356=INDEX({"Q4","Q1","Q2","Q3"},MATCH(I6,{"Q1","Q2","Q3","Q4"},0)))*('Data Entry'!F2:F356=B140)*1),0)))</f>
        <v/>
      </c>
      <c r="F140" s="188">
        <f>IFERROR(IF(E140=0,IF(D140=0,"0%","NEW"),TEXT((D140-E140)/E140,"+0%;-0%")),"-")</f>
        <v/>
      </c>
      <c r="G140" s="188">
        <f>IF(D140&gt;E140,"↑ UP",IF(D140&lt;E140,"↓ DOWN","→ SAME"))</f>
        <v/>
      </c>
    </row>
    <row r="141">
      <c r="B141" s="187" t="inlineStr">
        <is>
          <t>1KM RUN/WALK PATH</t>
        </is>
      </c>
      <c r="C141" s="71" t="n"/>
      <c r="D141" s="188">
        <f>IF(C6="Weekly",SUMPRODUCT((MONTH('Data Entry'!A2:A356)=Q6)*(YEAR('Data Entry'!A2:A356)=R6)*(INT((DAY('Data Entry'!A2:A356)-1)/7)+1=P6)*('Data Entry'!F2:F356=B141)*1),IF(C6="Monthly",SUMPRODUCT((MONTH('Data Entry'!A2:A356)=Q6)*(YEAR('Data Entry'!A2:A356)=R6)*('Data Entry'!F2:F356=B141)*1),IF(C6="Quarterly",SUMPRODUCT(('Data Entry'!P2:P356=I6)*('Data Entry'!F2:F356=B141)*1),COUNTIF('Data Entry'!F2:F356,B141))))</f>
        <v/>
      </c>
      <c r="E141" s="188">
        <f>IF(C6="Weekly",IF(P6&gt;1,SUMPRODUCT((MONTH('Data Entry'!A2:A356)=Q6)*(YEAR('Data Entry'!A2:A356)=R6)*(INT((DAY('Data Entry'!A2:A356)-1)/7)+1=P6-1)*('Data Entry'!F2:F356=B141)*1),SUMPRODUCT((MONTH('Data Entry'!A2:A356)=IF(Q6=1,12,Q6-1))*(YEAR('Data Entry'!A2:A356)=IF(Q6=1,R6-1,R6))*(INT((DAY('Data Entry'!A2:A356)-1)/7)+1=5)*('Data Entry'!F2:F356=B141)*1)),IF(C6="Monthly",SUMPRODUCT((MONTH('Data Entry'!A2:A356)=IF(Q6=1,12,Q6-1))*(YEAR('Data Entry'!A2:A356)=IF(Q6=1,R6-1,R6))*('Data Entry'!F2:F356=B141)*1),IF(C6="Quarterly",SUMPRODUCT(('Data Entry'!P2:P356=INDEX({"Q4","Q1","Q2","Q3"},MATCH(I6,{"Q1","Q2","Q3","Q4"},0)))*('Data Entry'!F2:F356=B141)*1),0)))</f>
        <v/>
      </c>
      <c r="F141" s="188">
        <f>IFERROR(IF(E141=0,IF(D141=0,"0%","NEW"),TEXT((D141-E141)/E141,"+0%;-0%")),"-")</f>
        <v/>
      </c>
      <c r="G141" s="188">
        <f>IF(D141&gt;E141,"↑ UP",IF(D141&lt;E141,"↓ DOWN","→ SAME"))</f>
        <v/>
      </c>
    </row>
    <row r="142">
      <c r="B142" s="187" t="inlineStr">
        <is>
          <t>Bleachers</t>
        </is>
      </c>
      <c r="C142" s="71" t="n"/>
      <c r="D142" s="188">
        <f>IF(C6="Weekly",SUMPRODUCT((MONTH('Data Entry'!A2:A356)=Q6)*(YEAR('Data Entry'!A2:A356)=R6)*(INT((DAY('Data Entry'!A2:A356)-1)/7)+1=P6)*('Data Entry'!F2:F356=B142)*1),IF(C6="Monthly",SUMPRODUCT((MONTH('Data Entry'!A2:A356)=Q6)*(YEAR('Data Entry'!A2:A356)=R6)*('Data Entry'!F2:F356=B142)*1),IF(C6="Quarterly",SUMPRODUCT(('Data Entry'!P2:P356=I6)*('Data Entry'!F2:F356=B142)*1),COUNTIF('Data Entry'!F2:F356,B142))))</f>
        <v/>
      </c>
      <c r="E142" s="188">
        <f>IF(C6="Weekly",IF(P6&gt;1,SUMPRODUCT((MONTH('Data Entry'!A2:A356)=Q6)*(YEAR('Data Entry'!A2:A356)=R6)*(INT((DAY('Data Entry'!A2:A356)-1)/7)+1=P6-1)*('Data Entry'!F2:F356=B142)*1),SUMPRODUCT((MONTH('Data Entry'!A2:A356)=IF(Q6=1,12,Q6-1))*(YEAR('Data Entry'!A2:A356)=IF(Q6=1,R6-1,R6))*(INT((DAY('Data Entry'!A2:A356)-1)/7)+1=5)*('Data Entry'!F2:F356=B142)*1)),IF(C6="Monthly",SUMPRODUCT((MONTH('Data Entry'!A2:A356)=IF(Q6=1,12,Q6-1))*(YEAR('Data Entry'!A2:A356)=IF(Q6=1,R6-1,R6))*('Data Entry'!F2:F356=B142)*1),IF(C6="Quarterly",SUMPRODUCT(('Data Entry'!P2:P356=INDEX({"Q4","Q1","Q2","Q3"},MATCH(I6,{"Q1","Q2","Q3","Q4"},0)))*('Data Entry'!F2:F356=B142)*1),0)))</f>
        <v/>
      </c>
      <c r="F142" s="188">
        <f>IFERROR(IF(E142=0,IF(D142=0,"0%","NEW"),TEXT((D142-E142)/E142,"+0%;-0%")),"-")</f>
        <v/>
      </c>
      <c r="G142" s="188">
        <f>IF(D142&gt;E142,"↑ UP",IF(D142&lt;E142,"↓ DOWN","→ SAME"))</f>
        <v/>
      </c>
    </row>
    <row r="143">
      <c r="B143" s="187" t="inlineStr">
        <is>
          <t>P GATE</t>
        </is>
      </c>
      <c r="C143" s="71" t="n"/>
      <c r="D143" s="188">
        <f>IF(C6="Weekly",SUMPRODUCT((MONTH('Data Entry'!A2:A356)=Q6)*(YEAR('Data Entry'!A2:A356)=R6)*(INT((DAY('Data Entry'!A2:A356)-1)/7)+1=P6)*('Data Entry'!F2:F356=B143)*1),IF(C6="Monthly",SUMPRODUCT((MONTH('Data Entry'!A2:A356)=Q6)*(YEAR('Data Entry'!A2:A356)=R6)*('Data Entry'!F2:F356=B143)*1),IF(C6="Quarterly",SUMPRODUCT(('Data Entry'!P2:P356=I6)*('Data Entry'!F2:F356=B143)*1),COUNTIF('Data Entry'!F2:F356,B143))))</f>
        <v/>
      </c>
      <c r="E143" s="188">
        <f>IF(C6="Weekly",IF(P6&gt;1,SUMPRODUCT((MONTH('Data Entry'!A2:A356)=Q6)*(YEAR('Data Entry'!A2:A356)=R6)*(INT((DAY('Data Entry'!A2:A356)-1)/7)+1=P6-1)*('Data Entry'!F2:F356=B143)*1),SUMPRODUCT((MONTH('Data Entry'!A2:A356)=IF(Q6=1,12,Q6-1))*(YEAR('Data Entry'!A2:A356)=IF(Q6=1,R6-1,R6))*(INT((DAY('Data Entry'!A2:A356)-1)/7)+1=5)*('Data Entry'!F2:F356=B143)*1)),IF(C6="Monthly",SUMPRODUCT((MONTH('Data Entry'!A2:A356)=IF(Q6=1,12,Q6-1))*(YEAR('Data Entry'!A2:A356)=IF(Q6=1,R6-1,R6))*('Data Entry'!F2:F356=B143)*1),IF(C6="Quarterly",SUMPRODUCT(('Data Entry'!P2:P356=INDEX({"Q4","Q1","Q2","Q3"},MATCH(I6,{"Q1","Q2","Q3","Q4"},0)))*('Data Entry'!F2:F356=B143)*1),0)))</f>
        <v/>
      </c>
      <c r="F143" s="188">
        <f>IFERROR(IF(E143=0,IF(D143=0,"0%","NEW"),TEXT((D143-E143)/E143,"+0%;-0%")),"-")</f>
        <v/>
      </c>
      <c r="G143" s="188">
        <f>IF(D143&gt;E143,"↑ UP",IF(D143&lt;E143,"↓ DOWN","→ SAME"))</f>
        <v/>
      </c>
    </row>
  </sheetData>
  <mergeCells count="58">
    <mergeCell ref="B129:C129"/>
    <mergeCell ref="B2:G2"/>
    <mergeCell ref="B135:C135"/>
    <mergeCell ref="F11:G11"/>
    <mergeCell ref="B138:C138"/>
    <mergeCell ref="B117:G117"/>
    <mergeCell ref="D10:E10"/>
    <mergeCell ref="B9:N9"/>
    <mergeCell ref="F10:G10"/>
    <mergeCell ref="B134:C134"/>
    <mergeCell ref="H10:I10"/>
    <mergeCell ref="J10:K10"/>
    <mergeCell ref="B141:C141"/>
    <mergeCell ref="B121:C121"/>
    <mergeCell ref="B68:N68"/>
    <mergeCell ref="B131:C131"/>
    <mergeCell ref="B122:C122"/>
    <mergeCell ref="B140:C140"/>
    <mergeCell ref="C97:G97"/>
    <mergeCell ref="B5:N5"/>
    <mergeCell ref="B114:N114"/>
    <mergeCell ref="B130:C130"/>
    <mergeCell ref="B11:C11"/>
    <mergeCell ref="B120:C120"/>
    <mergeCell ref="D11:E11"/>
    <mergeCell ref="I2:N3"/>
    <mergeCell ref="B32:N32"/>
    <mergeCell ref="B50:N50"/>
    <mergeCell ref="C94:G94"/>
    <mergeCell ref="C100:G100"/>
    <mergeCell ref="B136:C136"/>
    <mergeCell ref="B132:C132"/>
    <mergeCell ref="B104:G104"/>
    <mergeCell ref="B119:C119"/>
    <mergeCell ref="H11:I11"/>
    <mergeCell ref="J11:K11"/>
    <mergeCell ref="L10:M10"/>
    <mergeCell ref="B10:C10"/>
    <mergeCell ref="B128:C128"/>
    <mergeCell ref="B137:C137"/>
    <mergeCell ref="B126:G126"/>
    <mergeCell ref="B86:N86"/>
    <mergeCell ref="H117:N117"/>
    <mergeCell ref="B127:C127"/>
    <mergeCell ref="B118:C118"/>
    <mergeCell ref="B143:C143"/>
    <mergeCell ref="B3:G3"/>
    <mergeCell ref="B14:N14"/>
    <mergeCell ref="C91:G91"/>
    <mergeCell ref="I104:N104"/>
    <mergeCell ref="B139:C139"/>
    <mergeCell ref="B124:C124"/>
    <mergeCell ref="B142:C142"/>
    <mergeCell ref="B133:C133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  <cfRule type="expression" priority="19" dxfId="3">
      <formula>ISNUMBER(SEARCH("IMPROVED",G119))</formula>
    </cfRule>
    <cfRule type="expression" priority="20" dxfId="4">
      <formula>ISNUMBER(SEARCH("INCREASED",G119))</formula>
    </cfRule>
    <cfRule type="expression" priority="21" dxfId="5">
      <formula>ISNUMBER(SEARCH("STEADY",G119))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conditionalFormatting sqref="G128:G143">
    <cfRule type="expression" priority="16" dxfId="3">
      <formula>OR(ISNUMBER(SEARCH("UP",G128)),ISNUMBER(SEARCH("IMPROVED",G128)))</formula>
    </cfRule>
    <cfRule type="expression" priority="17" dxfId="4">
      <formula>ISNUMBER(SEARCH("DOWN",G128))</formula>
    </cfRule>
    <cfRule type="expression" priority="18" dxfId="5">
      <formula>OR(ISNUMBER(SEARCH("SAME",G128)),ISNUMBER(SEARCH("STEADY",G128)))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>Programs</t>
        </is>
      </c>
      <c r="Y1" t="inlineStr">
        <is>
          <t>Quarter</t>
        </is>
      </c>
      <c r="AA1" t="inlineStr">
        <is>
          <t>Venues</t>
        </is>
      </c>
      <c r="AB1" t="inlineStr">
        <is>
          <t>Mechanisms</t>
        </is>
      </c>
      <c r="AC1" t="inlineStr">
        <is>
          <t>Injuries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>Open Play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  <c r="AA2" t="inlineStr">
        <is>
          <t>Skate Park</t>
        </is>
      </c>
      <c r="AB2" t="inlineStr">
        <is>
          <t>Player-to-Player</t>
        </is>
      </c>
      <c r="AC2" t="inlineStr">
        <is>
          <t>Head Injury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  <c r="AA3" t="inlineStr">
        <is>
          <t xml:space="preserve">5 A side </t>
        </is>
      </c>
      <c r="AB3" t="inlineStr">
        <is>
          <t>Player-to-Object</t>
        </is>
      </c>
      <c r="AC3" t="inlineStr">
        <is>
          <t>Neck Injury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 xml:space="preserve">Afternoon Program </t>
        </is>
      </c>
      <c r="Z4" t="inlineStr">
        <is>
          <t xml:space="preserve">Enviroment </t>
        </is>
      </c>
      <c r="AA4" t="inlineStr">
        <is>
          <t>Basketball</t>
        </is>
      </c>
      <c r="AB4" t="inlineStr">
        <is>
          <t>Struck by Equipment</t>
        </is>
      </c>
      <c r="AC4" t="inlineStr">
        <is>
          <t>Facial Injury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  <c r="AA5" t="inlineStr">
        <is>
          <t>Outdoor gym</t>
        </is>
      </c>
      <c r="AB5" t="inlineStr">
        <is>
          <t>Slips, Trips and falls</t>
        </is>
      </c>
      <c r="AC5" t="inlineStr">
        <is>
          <t>spinal injury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>Bystander</t>
        </is>
      </c>
      <c r="AA6" t="inlineStr">
        <is>
          <t xml:space="preserve">JDI Studio </t>
        </is>
      </c>
      <c r="AB6" t="inlineStr">
        <is>
          <t>Falls from Height</t>
        </is>
      </c>
      <c r="AC6" t="inlineStr">
        <is>
          <t>Shoulder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>Yoga</t>
        </is>
      </c>
      <c r="AA7" t="inlineStr">
        <is>
          <t>PHINDA Studio</t>
        </is>
      </c>
      <c r="AB7" t="inlineStr">
        <is>
          <t>Muscle Strains</t>
        </is>
      </c>
      <c r="AC7" t="inlineStr">
        <is>
          <t>Elbow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>Kicking Boxing</t>
        </is>
      </c>
      <c r="AA8" t="inlineStr">
        <is>
          <t>PHAMBILI Studio</t>
        </is>
      </c>
      <c r="AB8" t="inlineStr">
        <is>
          <t>Heat-Related</t>
        </is>
      </c>
      <c r="AC8" t="inlineStr">
        <is>
          <t>Wrist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>Running with the pack</t>
        </is>
      </c>
      <c r="AA9" t="inlineStr">
        <is>
          <t xml:space="preserve">11- A side </t>
        </is>
      </c>
      <c r="AB9" t="inlineStr">
        <is>
          <t>Stress Fractures</t>
        </is>
      </c>
      <c r="AC9" t="inlineStr">
        <is>
          <t>Hand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Dancing</t>
        </is>
      </c>
      <c r="AA10" t="inlineStr">
        <is>
          <t>Athletics track</t>
        </is>
      </c>
      <c r="AB10" t="inlineStr">
        <is>
          <t>Tendonitis</t>
        </is>
      </c>
      <c r="AC10" t="inlineStr">
        <is>
          <t>Arm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>LFA</t>
        </is>
      </c>
      <c r="AA11" t="inlineStr">
        <is>
          <t>Registration area</t>
        </is>
      </c>
      <c r="AB11" t="inlineStr">
        <is>
          <t>Incorrect Use</t>
        </is>
      </c>
      <c r="AC11" t="inlineStr">
        <is>
          <t>Upper limb Muscle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>Morning Show</t>
        </is>
      </c>
      <c r="AA12" t="inlineStr">
        <is>
          <t xml:space="preserve">Car parking </t>
        </is>
      </c>
      <c r="AB12" t="inlineStr">
        <is>
          <t>Malfunction</t>
        </is>
      </c>
      <c r="AC12" t="inlineStr">
        <is>
          <t>Chest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Her Game</t>
        </is>
      </c>
      <c r="AA13" t="inlineStr">
        <is>
          <t>Change Rooms</t>
        </is>
      </c>
      <c r="AB13" t="inlineStr">
        <is>
          <t>Poor Lighting</t>
        </is>
      </c>
      <c r="AC13" t="inlineStr">
        <is>
          <t>Abdominal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FNB Tournament</t>
        </is>
      </c>
      <c r="AA14" t="inlineStr">
        <is>
          <t>Equipment Rooms</t>
        </is>
      </c>
      <c r="AB14" t="inlineStr">
        <is>
          <t>Inadequate Signage</t>
        </is>
      </c>
      <c r="AC14" t="inlineStr">
        <is>
          <t>Back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>OR Tambo Soncini Games</t>
        </is>
      </c>
      <c r="AA15" t="inlineStr">
        <is>
          <t>1KM RUN/WALK PATH</t>
        </is>
      </c>
      <c r="AB15" t="inlineStr">
        <is>
          <t>Cleaning Agents</t>
        </is>
      </c>
      <c r="AC15" t="inlineStr">
        <is>
          <t>Hip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>Clinic Stix Morewa Challenge</t>
        </is>
      </c>
      <c r="AA16" t="inlineStr">
        <is>
          <t>Bleachers</t>
        </is>
      </c>
      <c r="AB16" t="inlineStr">
        <is>
          <t>Infections</t>
        </is>
      </c>
      <c r="AC16" t="inlineStr">
        <is>
          <t>Knee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Discovery  Challenge</t>
        </is>
      </c>
      <c r="AA17" t="inlineStr">
        <is>
          <t>P GATE</t>
        </is>
      </c>
      <c r="AB17" t="inlineStr">
        <is>
          <t>Allergies</t>
        </is>
      </c>
      <c r="AC17" t="inlineStr">
        <is>
          <t>Ankle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>NONE SPORTS CENTER</t>
        </is>
      </c>
      <c r="AB18" t="inlineStr">
        <is>
          <t>Harassment or Bullying</t>
        </is>
      </c>
      <c r="AC18" t="inlineStr">
        <is>
          <t>Foot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AB19" t="inlineStr">
        <is>
          <t>Performance Pressure</t>
        </is>
      </c>
      <c r="AC19" t="inlineStr">
        <is>
          <t>Lower limb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AB20" t="inlineStr">
        <is>
          <t>Assault</t>
        </is>
      </c>
      <c r="AC20" t="inlineStr">
        <is>
          <t>General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AB21" t="inlineStr">
        <is>
          <t>Theft</t>
        </is>
      </c>
      <c r="AC21" t="inlineStr">
        <is>
          <t>Medical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AB22" t="inlineStr">
        <is>
          <t>Medical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8">
    <dataValidation sqref="G2:G356" showDropDown="0" showInputMessage="1" showErrorMessage="1" allowBlank="1" type="list">
      <formula1>$X$2:$X$18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  <dataValidation sqref="F2:F356" showDropDown="0" showInputMessage="0" showErrorMessage="0" allowBlank="1" errorTitle="Invalid Venue" error="Please select from the list" promptTitle="Venue" prompt="Select a venue" type="list">
      <formula1>$AA$2:$AA$17</formula1>
    </dataValidation>
    <dataValidation sqref="D2:D356" showDropDown="0" showInputMessage="0" showErrorMessage="0" allowBlank="1" errorTitle="Invalid Mechanism" error="Please select from the list" promptTitle="Mechanism" prompt="Select a mechanism" type="list">
      <formula1>$AB$2:$AB$22</formula1>
    </dataValidation>
    <dataValidation sqref="H2:H356" showDropDown="0" showInputMessage="0" showErrorMessage="0" allowBlank="1" errorTitle="Invalid Injury" error="Please select from the list" promptTitle="Injury Type" prompt="Select an injury type" type="list">
      <formula1>$AC$2:$AC$21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s="63" t="inlineStr">
        <is>
          <t>Skate Park</t>
        </is>
      </c>
      <c r="B6" s="63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s="63" t="inlineStr">
        <is>
          <t xml:space="preserve">5 A side </t>
        </is>
      </c>
      <c r="B7" s="63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s="63" t="inlineStr">
        <is>
          <t>Basketball</t>
        </is>
      </c>
      <c r="B8" s="63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s="63" t="inlineStr">
        <is>
          <t>Outdoor gym</t>
        </is>
      </c>
      <c r="B9" s="63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s="63" t="inlineStr">
        <is>
          <t xml:space="preserve">JDI Studio </t>
        </is>
      </c>
      <c r="B10" s="63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s="63" t="inlineStr">
        <is>
          <t>PHINDA Studio</t>
        </is>
      </c>
      <c r="B11" s="63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s="63" t="inlineStr">
        <is>
          <t>PHAMBILI Studio</t>
        </is>
      </c>
      <c r="B12" s="63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s="63" t="inlineStr">
        <is>
          <t xml:space="preserve">11- A side </t>
        </is>
      </c>
      <c r="B13" s="6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s="63" t="inlineStr">
        <is>
          <t>Athletics track</t>
        </is>
      </c>
      <c r="B14" s="63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5">
      <c r="A15" s="63" t="inlineStr">
        <is>
          <t>Registration area</t>
        </is>
      </c>
      <c r="B15" s="63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</row>
    <row r="16">
      <c r="A16" s="63" t="inlineStr">
        <is>
          <t xml:space="preserve">Car parking </t>
        </is>
      </c>
      <c r="B16" s="63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</row>
    <row r="17">
      <c r="A17" s="63" t="inlineStr">
        <is>
          <t>Change Rooms</t>
        </is>
      </c>
      <c r="B17" s="63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</row>
    <row r="18">
      <c r="A18" s="176" t="inlineStr">
        <is>
          <t>Equipment Rooms</t>
        </is>
      </c>
      <c r="B18" s="63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D18" s="30" t="n"/>
    </row>
    <row r="19">
      <c r="A19" s="176" t="inlineStr">
        <is>
          <t>1KM RUN/WALK PATH</t>
        </is>
      </c>
      <c r="B19" s="176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D19" s="30" t="n"/>
      <c r="E19" s="30" t="n"/>
    </row>
    <row r="20">
      <c r="A20" s="63" t="inlineStr">
        <is>
          <t>Bleachers</t>
        </is>
      </c>
      <c r="B20" s="63">
        <f>IF('Dashboard Pro'!C6="Weekly",SUMPRODUCT((MONTH('Data Entry'!A2:A356)='Dashboard Pro'!Q6)*(YEAR('Data Entry'!A2:A356)='Dashboard Pro'!R6)*(INT((DAY('Data Entry'!A2:A356)-1)/7)+1='Dashboard Pro'!P6)*('Data Entry'!F2:F356=A20)*1),IF('Dashboard Pro'!C6="Monthly",SUMPRODUCT((MONTH('Data Entry'!A2:A356)='Dashboard Pro'!Q6)*(YEAR('Data Entry'!A2:A356)='Dashboard Pro'!R6)*('Data Entry'!F2:F356=A20)*1),IF('Dashboard Pro'!C6="Quarterly",SUMPRODUCT(('Data Entry'!P2:P356='Dashboard Pro'!I6)*('Data Entry'!F2:F356=A20)*1),COUNTIF('Data Entry'!F2:F356,A20))))</f>
        <v/>
      </c>
    </row>
    <row r="21">
      <c r="A21" s="63" t="inlineStr">
        <is>
          <t>P GATE</t>
        </is>
      </c>
      <c r="B21" s="63">
        <f>IF('Dashboard Pro'!C6="Weekly",SUMPRODUCT((MONTH('Data Entry'!A2:A356)='Dashboard Pro'!Q6)*(YEAR('Data Entry'!A2:A356)='Dashboard Pro'!R6)*(INT((DAY('Data Entry'!A2:A356)-1)/7)+1='Dashboard Pro'!P6)*('Data Entry'!F2:F356=A21)*1),IF('Dashboard Pro'!C6="Monthly",SUMPRODUCT((MONTH('Data Entry'!A2:A356)='Dashboard Pro'!Q6)*(YEAR('Data Entry'!A2:A356)='Dashboard Pro'!R6)*('Data Entry'!F2:F356=A21)*1),IF('Dashboard Pro'!C6="Quarterly",SUMPRODUCT(('Data Entry'!P2:P356='Dashboard Pro'!I6)*('Data Entry'!F2:F356=A21)*1),COUNTIF('Data Entry'!F2:F356,A21))))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s="177" t="inlineStr">
        <is>
          <t>MECHANISM DATA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  <c r="D25" s="177" t="inlineStr">
        <is>
          <t>TIME DATA</t>
        </is>
      </c>
    </row>
    <row r="26">
      <c r="A26" s="30" t="inlineStr">
        <is>
          <t>Mechanism</t>
        </is>
      </c>
      <c r="B26" s="30" t="inlineStr">
        <is>
          <t>Count</t>
        </is>
      </c>
      <c r="D26" s="30" t="inlineStr">
        <is>
          <t>Time Period</t>
        </is>
      </c>
      <c r="E26" s="30" t="inlineStr">
        <is>
          <t>Count</t>
        </is>
      </c>
    </row>
    <row r="27">
      <c r="A27" s="63" t="inlineStr">
        <is>
          <t>Player-to-Player</t>
        </is>
      </c>
      <c r="B27" s="63">
        <f>IF('Dashboard Pro'!C6="Weekly",SUMPRODUCT((MONTH('Data Entry'!A2:A356)='Dashboard Pro'!Q6)*(YEAR('Data Entry'!A2:A356)='Dashboard Pro'!R6)*(INT((DAY('Data Entry'!A2:A356)-1)/7)+1='Dashboard Pro'!P6)*('Data Entry'!D2:D356=A27)*1),IF('Dashboard Pro'!C6="Monthly",SUMPRODUCT((MONTH('Data Entry'!A2:A356)='Dashboard Pro'!Q6)*(YEAR('Data Entry'!A2:A356)='Dashboard Pro'!R6)*('Data Entry'!D2:D356=A27)*1),IF('Dashboard Pro'!C6="Quarterly",SUMPRODUCT(('Data Entry'!P2:P356='Dashboard Pro'!I6)*('Data Entry'!D2:D356=A27)*1),COUNTIF('Data Entry'!D2:D356,A27))))</f>
        <v/>
      </c>
      <c r="D27" s="63" t="inlineStr">
        <is>
          <t>Morning</t>
        </is>
      </c>
      <c r="E27" s="63">
        <f>IF('Dashboard Pro'!C6="Weekly",SUMPRODUCT((MONTH('Data Entry'!A2:A356)='Dashboard Pro'!Q6)*(YEAR('Data Entry'!A2:A356)='Dashboard Pro'!R6)*(INT((DAY('Data Entry'!A2:A356)-1)/7)+1='Dashboard Pro'!P6)*('Data Entry'!M2:M356=D27)*1),IF('Dashboard Pro'!C6="Monthly",SUMPRODUCT((MONTH('Data Entry'!A2:A356)='Dashboard Pro'!Q6)*(YEAR('Data Entry'!A2:A356)='Dashboard Pro'!R6)*('Data Entry'!M2:M356=D27)*1),IF('Dashboard Pro'!C6="Quarterly",SUMPRODUCT(('Data Entry'!P2:P356='Dashboard Pro'!I6)*('Data Entry'!M2:M356=D27)*1),COUNTIF('Data Entry'!M2:M356,D27))))</f>
        <v/>
      </c>
    </row>
    <row r="28">
      <c r="A28" s="63" t="inlineStr">
        <is>
          <t>Player-to-Object</t>
        </is>
      </c>
      <c r="B28" s="63">
        <f>IF('Dashboard Pro'!C6="Weekly",SUMPRODUCT((MONTH('Data Entry'!A2:A356)='Dashboard Pro'!Q6)*(YEAR('Data Entry'!A2:A356)='Dashboard Pro'!R6)*(INT((DAY('Data Entry'!A2:A356)-1)/7)+1='Dashboard Pro'!P6)*('Data Entry'!D2:D356=A28)*1),IF('Dashboard Pro'!C6="Monthly",SUMPRODUCT((MONTH('Data Entry'!A2:A356)='Dashboard Pro'!Q6)*(YEAR('Data Entry'!A2:A356)='Dashboard Pro'!R6)*('Data Entry'!D2:D356=A28)*1),IF('Dashboard Pro'!C6="Quarterly",SUMPRODUCT(('Data Entry'!P2:P356='Dashboard Pro'!I6)*('Data Entry'!D2:D356=A28)*1),COUNTIF('Data Entry'!D2:D356,A28))))</f>
        <v/>
      </c>
      <c r="D28" s="63" t="inlineStr">
        <is>
          <t>Afternoon</t>
        </is>
      </c>
      <c r="E28" s="63">
        <f>IF('Dashboard Pro'!C6="Weekly",SUMPRODUCT((MONTH('Data Entry'!A2:A356)='Dashboard Pro'!Q6)*(YEAR('Data Entry'!A2:A356)='Dashboard Pro'!R6)*(INT((DAY('Data Entry'!A2:A356)-1)/7)+1='Dashboard Pro'!P6)*('Data Entry'!M2:M356=D28)*1),IF('Dashboard Pro'!C6="Monthly",SUMPRODUCT((MONTH('Data Entry'!A2:A356)='Dashboard Pro'!Q6)*(YEAR('Data Entry'!A2:A356)='Dashboard Pro'!R6)*('Data Entry'!M2:M356=D28)*1),IF('Dashboard Pro'!C6="Quarterly",SUMPRODUCT(('Data Entry'!P2:P356='Dashboard Pro'!I6)*('Data Entry'!M2:M356=D28)*1),COUNTIF('Data Entry'!M2:M356,D28))))</f>
        <v/>
      </c>
    </row>
    <row r="29">
      <c r="A29" s="63" t="inlineStr">
        <is>
          <t>Struck by Equipment</t>
        </is>
      </c>
      <c r="B29" s="63">
        <f>IF('Dashboard Pro'!C6="Weekly",SUMPRODUCT((MONTH('Data Entry'!A2:A356)='Dashboard Pro'!Q6)*(YEAR('Data Entry'!A2:A356)='Dashboard Pro'!R6)*(INT((DAY('Data Entry'!A2:A356)-1)/7)+1='Dashboard Pro'!P6)*('Data Entry'!D2:D356=A29)*1),IF('Dashboard Pro'!C6="Monthly",SUMPRODUCT((MONTH('Data Entry'!A2:A356)='Dashboard Pro'!Q6)*(YEAR('Data Entry'!A2:A356)='Dashboard Pro'!R6)*('Data Entry'!D2:D356=A29)*1),IF('Dashboard Pro'!C6="Quarterly",SUMPRODUCT(('Data Entry'!P2:P356='Dashboard Pro'!I6)*('Data Entry'!D2:D356=A29)*1),COUNTIF('Data Entry'!D2:D356,A29))))</f>
        <v/>
      </c>
      <c r="D29" s="63" t="inlineStr">
        <is>
          <t>Evening</t>
        </is>
      </c>
      <c r="E29" s="63">
        <f>IF('Dashboard Pro'!C6="Weekly",SUMPRODUCT((MONTH('Data Entry'!A2:A356)='Dashboard Pro'!Q6)*(YEAR('Data Entry'!A2:A356)='Dashboard Pro'!R6)*(INT((DAY('Data Entry'!A2:A356)-1)/7)+1='Dashboard Pro'!P6)*('Data Entry'!M2:M356=D29)*1),IF('Dashboard Pro'!C6="Monthly",SUMPRODUCT((MONTH('Data Entry'!A2:A356)='Dashboard Pro'!Q6)*(YEAR('Data Entry'!A2:A356)='Dashboard Pro'!R6)*('Data Entry'!M2:M356=D29)*1),IF('Dashboard Pro'!C6="Quarterly",SUMPRODUCT(('Data Entry'!P2:P356='Dashboard Pro'!I6)*('Data Entry'!M2:M356=D29)*1),COUNTIF('Data Entry'!M2:M356,D29))))</f>
        <v/>
      </c>
    </row>
    <row r="30">
      <c r="A30" s="63" t="inlineStr">
        <is>
          <t>Slips, Trips and falls</t>
        </is>
      </c>
      <c r="B30" s="63">
        <f>IF('Dashboard Pro'!C6="Weekly",SUMPRODUCT((MONTH('Data Entry'!A2:A356)='Dashboard Pro'!Q6)*(YEAR('Data Entry'!A2:A356)='Dashboard Pro'!R6)*(INT((DAY('Data Entry'!A2:A356)-1)/7)+1='Dashboard Pro'!P6)*('Data Entry'!D2:D356=A30)*1),IF('Dashboard Pro'!C6="Monthly",SUMPRODUCT((MONTH('Data Entry'!A2:A356)='Dashboard Pro'!Q6)*(YEAR('Data Entry'!A2:A356)='Dashboard Pro'!R6)*('Data Entry'!D2:D356=A30)*1),IF('Dashboard Pro'!C6="Quarterly",SUMPRODUCT(('Data Entry'!P2:P356='Dashboard Pro'!I6)*('Data Entry'!D2:D356=A30)*1),COUNTIF('Data Entry'!D2:D356,A30))))</f>
        <v/>
      </c>
      <c r="D30" s="63" t="inlineStr">
        <is>
          <t>Night</t>
        </is>
      </c>
      <c r="E30" s="63">
        <f>IF('Dashboard Pro'!C6="Weekly",SUMPRODUCT((MONTH('Data Entry'!A2:A356)='Dashboard Pro'!Q6)*(YEAR('Data Entry'!A2:A356)='Dashboard Pro'!R6)*(INT((DAY('Data Entry'!A2:A356)-1)/7)+1='Dashboard Pro'!P6)*('Data Entry'!M2:M356=D30)*1),IF('Dashboard Pro'!C6="Monthly",SUMPRODUCT((MONTH('Data Entry'!A2:A356)='Dashboard Pro'!Q6)*(YEAR('Data Entry'!A2:A356)='Dashboard Pro'!R6)*('Data Entry'!M2:M356=D30)*1),IF('Dashboard Pro'!C6="Quarterly",SUMPRODUCT(('Data Entry'!P2:P356='Dashboard Pro'!I6)*('Data Entry'!M2:M356=D30)*1),COUNTIF('Data Entry'!M2:M356,D30))))</f>
        <v/>
      </c>
      <c r="G30" s="33" t="n"/>
      <c r="J30" s="33" t="n"/>
      <c r="M30" s="33" t="n"/>
    </row>
    <row r="31">
      <c r="A31" s="63" t="inlineStr">
        <is>
          <t>Falls from Height</t>
        </is>
      </c>
      <c r="B31" s="63">
        <f>IF('Dashboard Pro'!C6="Weekly",SUMPRODUCT((MONTH('Data Entry'!A2:A356)='Dashboard Pro'!Q6)*(YEAR('Data Entry'!A2:A356)='Dashboard Pro'!R6)*(INT((DAY('Data Entry'!A2:A356)-1)/7)+1='Dashboard Pro'!P6)*('Data Entry'!D2:D356=A31)*1),IF('Dashboard Pro'!C6="Monthly",SUMPRODUCT((MONTH('Data Entry'!A2:A356)='Dashboard Pro'!Q6)*(YEAR('Data Entry'!A2:A356)='Dashboard Pro'!R6)*('Data Entry'!D2:D356=A31)*1),IF('Dashboard Pro'!C6="Quarterly",SUMPRODUCT(('Data Entry'!P2:P356='Dashboard Pro'!I6)*('Data Entry'!D2:D356=A31)*1),COUNTIF('Data Entry'!D2:D356,A31))))</f>
        <v/>
      </c>
      <c r="G31" s="62" t="n"/>
      <c r="H31" s="62" t="n"/>
      <c r="J31" s="62" t="n"/>
      <c r="K31" s="62" t="n"/>
      <c r="M31" s="62" t="n"/>
      <c r="N31" s="62" t="n"/>
    </row>
    <row r="32">
      <c r="A32" s="63" t="inlineStr">
        <is>
          <t>Muscle Strains</t>
        </is>
      </c>
      <c r="B32" s="63">
        <f>IF('Dashboard Pro'!C6="Weekly",SUMPRODUCT((MONTH('Data Entry'!A2:A356)='Dashboard Pro'!Q6)*(YEAR('Data Entry'!A2:A356)='Dashboard Pro'!R6)*(INT((DAY('Data Entry'!A2:A356)-1)/7)+1='Dashboard Pro'!P6)*('Data Entry'!D2:D356=A32)*1),IF('Dashboard Pro'!C6="Monthly",SUMPRODUCT((MONTH('Data Entry'!A2:A356)='Dashboard Pro'!Q6)*(YEAR('Data Entry'!A2:A356)='Dashboard Pro'!R6)*('Data Entry'!D2:D356=A32)*1),IF('Dashboard Pro'!C6="Quarterly",SUMPRODUCT(('Data Entry'!P2:P356='Dashboard Pro'!I6)*('Data Entry'!D2:D356=A32)*1),COUNTIF('Data Entry'!D2:D356,A32))))</f>
        <v/>
      </c>
      <c r="G32" s="63" t="n"/>
      <c r="H32" s="63" t="n"/>
      <c r="J32" s="63" t="n"/>
      <c r="K32" s="63" t="n"/>
      <c r="M32" s="63" t="n"/>
      <c r="N32" s="63" t="n"/>
    </row>
    <row r="33">
      <c r="A33" s="63" t="inlineStr">
        <is>
          <t>Heat-Related</t>
        </is>
      </c>
      <c r="B33" s="63">
        <f>IF('Dashboard Pro'!C6="Weekly",SUMPRODUCT((MONTH('Data Entry'!A2:A356)='Dashboard Pro'!Q6)*(YEAR('Data Entry'!A2:A356)='Dashboard Pro'!R6)*(INT((DAY('Data Entry'!A2:A356)-1)/7)+1='Dashboard Pro'!P6)*('Data Entry'!D2:D356=A33)*1),IF('Dashboard Pro'!C6="Monthly",SUMPRODUCT((MONTH('Data Entry'!A2:A356)='Dashboard Pro'!Q6)*(YEAR('Data Entry'!A2:A356)='Dashboard Pro'!R6)*('Data Entry'!D2:D356=A33)*1),IF('Dashboard Pro'!C6="Quarterly",SUMPRODUCT(('Data Entry'!P2:P356='Dashboard Pro'!I6)*('Data Entry'!D2:D356=A33)*1),COUNTIF('Data Entry'!D2:D356,A33))))</f>
        <v/>
      </c>
      <c r="G33" s="63" t="n"/>
      <c r="H33" s="63" t="n"/>
      <c r="J33" s="63" t="n"/>
      <c r="K33" s="63" t="n"/>
      <c r="M33" s="63" t="n"/>
      <c r="N33" s="63" t="n"/>
    </row>
    <row r="34">
      <c r="A34" s="63" t="inlineStr">
        <is>
          <t>Stress Fractures</t>
        </is>
      </c>
      <c r="B34" s="63">
        <f>IF('Dashboard Pro'!C6="Weekly",SUMPRODUCT((MONTH('Data Entry'!A2:A356)='Dashboard Pro'!Q6)*(YEAR('Data Entry'!A2:A356)='Dashboard Pro'!R6)*(INT((DAY('Data Entry'!A2:A356)-1)/7)+1='Dashboard Pro'!P6)*('Data Entry'!D2:D356=A34)*1),IF('Dashboard Pro'!C6="Monthly",SUMPRODUCT((MONTH('Data Entry'!A2:A356)='Dashboard Pro'!Q6)*(YEAR('Data Entry'!A2:A356)='Dashboard Pro'!R6)*('Data Entry'!D2:D356=A34)*1),IF('Dashboard Pro'!C6="Quarterly",SUMPRODUCT(('Data Entry'!P2:P356='Dashboard Pro'!I6)*('Data Entry'!D2:D356=A34)*1),COUNTIF('Data Entry'!D2:D356,A34))))</f>
        <v/>
      </c>
      <c r="G34" s="63" t="n"/>
      <c r="H34" s="63" t="n"/>
      <c r="J34" s="63" t="n"/>
      <c r="K34" s="63" t="n"/>
      <c r="M34" s="63" t="n"/>
      <c r="N34" s="63" t="n"/>
    </row>
    <row r="35">
      <c r="A35" s="63" t="inlineStr">
        <is>
          <t>Tendonitis</t>
        </is>
      </c>
      <c r="B35" s="63">
        <f>IF('Dashboard Pro'!C6="Weekly",SUMPRODUCT((MONTH('Data Entry'!A2:A356)='Dashboard Pro'!Q6)*(YEAR('Data Entry'!A2:A356)='Dashboard Pro'!R6)*(INT((DAY('Data Entry'!A2:A356)-1)/7)+1='Dashboard Pro'!P6)*('Data Entry'!D2:D356=A35)*1),IF('Dashboard Pro'!C6="Monthly",SUMPRODUCT((MONTH('Data Entry'!A2:A356)='Dashboard Pro'!Q6)*(YEAR('Data Entry'!A2:A356)='Dashboard Pro'!R6)*('Data Entry'!D2:D356=A35)*1),IF('Dashboard Pro'!C6="Quarterly",SUMPRODUCT(('Data Entry'!P2:P356='Dashboard Pro'!I6)*('Data Entry'!D2:D356=A35)*1),COUNTIF('Data Entry'!D2:D356,A35))))</f>
        <v/>
      </c>
      <c r="G35" s="63" t="n"/>
      <c r="H35" s="63" t="n"/>
      <c r="J35" s="63" t="n"/>
      <c r="K35" s="63" t="n"/>
      <c r="M35" s="63" t="n"/>
      <c r="N35" s="63" t="n"/>
    </row>
    <row r="36">
      <c r="A36" s="63" t="inlineStr">
        <is>
          <t>Incorrect Use</t>
        </is>
      </c>
      <c r="B36" s="63">
        <f>IF('Dashboard Pro'!C6="Weekly",SUMPRODUCT((MONTH('Data Entry'!A2:A356)='Dashboard Pro'!Q6)*(YEAR('Data Entry'!A2:A356)='Dashboard Pro'!R6)*(INT((DAY('Data Entry'!A2:A356)-1)/7)+1='Dashboard Pro'!P6)*('Data Entry'!D2:D356=A36)*1),IF('Dashboard Pro'!C6="Monthly",SUMPRODUCT((MONTH('Data Entry'!A2:A356)='Dashboard Pro'!Q6)*(YEAR('Data Entry'!A2:A356)='Dashboard Pro'!R6)*('Data Entry'!D2:D356=A36)*1),IF('Dashboard Pro'!C6="Quarterly",SUMPRODUCT(('Data Entry'!P2:P356='Dashboard Pro'!I6)*('Data Entry'!D2:D356=A36)*1),COUNTIF('Data Entry'!D2:D356,A36))))</f>
        <v/>
      </c>
      <c r="J36" s="63" t="n"/>
      <c r="K36" s="63" t="n"/>
      <c r="M36" s="63" t="n"/>
      <c r="N36" s="63" t="n"/>
    </row>
    <row r="37">
      <c r="A37" s="63" t="inlineStr">
        <is>
          <t>Malfunction</t>
        </is>
      </c>
      <c r="B37" s="63">
        <f>IF('Dashboard Pro'!C6="Weekly",SUMPRODUCT((MONTH('Data Entry'!A2:A356)='Dashboard Pro'!Q6)*(YEAR('Data Entry'!A2:A356)='Dashboard Pro'!R6)*(INT((DAY('Data Entry'!A2:A356)-1)/7)+1='Dashboard Pro'!P6)*('Data Entry'!D2:D356=A37)*1),IF('Dashboard Pro'!C6="Monthly",SUMPRODUCT((MONTH('Data Entry'!A2:A356)='Dashboard Pro'!Q6)*(YEAR('Data Entry'!A2:A356)='Dashboard Pro'!R6)*('Data Entry'!D2:D356=A37)*1),IF('Dashboard Pro'!C6="Quarterly",SUMPRODUCT(('Data Entry'!P2:P356='Dashboard Pro'!I6)*('Data Entry'!D2:D356=A37)*1),COUNTIF('Data Entry'!D2:D356,A37))))</f>
        <v/>
      </c>
      <c r="M37" s="63" t="n"/>
      <c r="N37" s="63" t="n"/>
    </row>
    <row r="38">
      <c r="A38" s="63" t="inlineStr">
        <is>
          <t>Poor Lighting</t>
        </is>
      </c>
      <c r="B38" s="63">
        <f>IF('Dashboard Pro'!C6="Weekly",SUMPRODUCT((MONTH('Data Entry'!A2:A356)='Dashboard Pro'!Q6)*(YEAR('Data Entry'!A2:A356)='Dashboard Pro'!R6)*(INT((DAY('Data Entry'!A2:A356)-1)/7)+1='Dashboard Pro'!P6)*('Data Entry'!D2:D356=A38)*1),IF('Dashboard Pro'!C6="Monthly",SUMPRODUCT((MONTH('Data Entry'!A2:A356)='Dashboard Pro'!Q6)*(YEAR('Data Entry'!A2:A356)='Dashboard Pro'!R6)*('Data Entry'!D2:D356=A38)*1),IF('Dashboard Pro'!C6="Quarterly",SUMPRODUCT(('Data Entry'!P2:P356='Dashboard Pro'!I6)*('Data Entry'!D2:D356=A38)*1),COUNTIF('Data Entry'!D2:D356,A38))))</f>
        <v/>
      </c>
      <c r="M38" s="63" t="n"/>
      <c r="N38" s="63" t="n"/>
    </row>
    <row r="39">
      <c r="A39" s="63" t="inlineStr">
        <is>
          <t>Inadequate Signage</t>
        </is>
      </c>
      <c r="B39" s="63">
        <f>IF('Dashboard Pro'!C6="Weekly",SUMPRODUCT((MONTH('Data Entry'!A2:A356)='Dashboard Pro'!Q6)*(YEAR('Data Entry'!A2:A356)='Dashboard Pro'!R6)*(INT((DAY('Data Entry'!A2:A356)-1)/7)+1='Dashboard Pro'!P6)*('Data Entry'!D2:D356=A39)*1),IF('Dashboard Pro'!C6="Monthly",SUMPRODUCT((MONTH('Data Entry'!A2:A356)='Dashboard Pro'!Q6)*(YEAR('Data Entry'!A2:A356)='Dashboard Pro'!R6)*('Data Entry'!D2:D356=A39)*1),IF('Dashboard Pro'!C6="Quarterly",SUMPRODUCT(('Data Entry'!P2:P356='Dashboard Pro'!I6)*('Data Entry'!D2:D356=A39)*1),COUNTIF('Data Entry'!D2:D356,A39))))</f>
        <v/>
      </c>
    </row>
    <row r="40">
      <c r="A40" s="63" t="inlineStr">
        <is>
          <t>Cleaning Agents</t>
        </is>
      </c>
      <c r="B40" s="63">
        <f>IF('Dashboard Pro'!C6="Weekly",SUMPRODUCT((MONTH('Data Entry'!A2:A356)='Dashboard Pro'!Q6)*(YEAR('Data Entry'!A2:A356)='Dashboard Pro'!R6)*(INT((DAY('Data Entry'!A2:A356)-1)/7)+1='Dashboard Pro'!P6)*('Data Entry'!D2:D356=A40)*1),IF('Dashboard Pro'!C6="Monthly",SUMPRODUCT((MONTH('Data Entry'!A2:A356)='Dashboard Pro'!Q6)*(YEAR('Data Entry'!A2:A356)='Dashboard Pro'!R6)*('Data Entry'!D2:D356=A40)*1),IF('Dashboard Pro'!C6="Quarterly",SUMPRODUCT(('Data Entry'!P2:P356='Dashboard Pro'!I6)*('Data Entry'!D2:D356=A40)*1),COUNTIF('Data Entry'!D2:D356,A40))))</f>
        <v/>
      </c>
    </row>
    <row r="41">
      <c r="A41" s="63" t="inlineStr">
        <is>
          <t>Infections</t>
        </is>
      </c>
      <c r="B41" s="63">
        <f>IF('Dashboard Pro'!C6="Weekly",SUMPRODUCT((MONTH('Data Entry'!A2:A356)='Dashboard Pro'!Q6)*(YEAR('Data Entry'!A2:A356)='Dashboard Pro'!R6)*(INT((DAY('Data Entry'!A2:A356)-1)/7)+1='Dashboard Pro'!P6)*('Data Entry'!D2:D356=A41)*1),IF('Dashboard Pro'!C6="Monthly",SUMPRODUCT((MONTH('Data Entry'!A2:A356)='Dashboard Pro'!Q6)*(YEAR('Data Entry'!A2:A356)='Dashboard Pro'!R6)*('Data Entry'!D2:D356=A41)*1),IF('Dashboard Pro'!C6="Quarterly",SUMPRODUCT(('Data Entry'!P2:P356='Dashboard Pro'!I6)*('Data Entry'!D2:D356=A41)*1),COUNTIF('Data Entry'!D2:D356,A41))))</f>
        <v/>
      </c>
    </row>
    <row r="42">
      <c r="A42" s="63" t="inlineStr">
        <is>
          <t>Allergies</t>
        </is>
      </c>
      <c r="B42" s="63">
        <f>IF('Dashboard Pro'!C6="Weekly",SUMPRODUCT((MONTH('Data Entry'!A2:A356)='Dashboard Pro'!Q6)*(YEAR('Data Entry'!A2:A356)='Dashboard Pro'!R6)*(INT((DAY('Data Entry'!A2:A356)-1)/7)+1='Dashboard Pro'!P6)*('Data Entry'!D2:D356=A42)*1),IF('Dashboard Pro'!C6="Monthly",SUMPRODUCT((MONTH('Data Entry'!A2:A356)='Dashboard Pro'!Q6)*(YEAR('Data Entry'!A2:A356)='Dashboard Pro'!R6)*('Data Entry'!D2:D356=A42)*1),IF('Dashboard Pro'!C6="Quarterly",SUMPRODUCT(('Data Entry'!P2:P356='Dashboard Pro'!I6)*('Data Entry'!D2:D356=A42)*1),COUNTIF('Data Entry'!D2:D356,A42))))</f>
        <v/>
      </c>
      <c r="P42" s="33" t="n"/>
    </row>
    <row r="43">
      <c r="A43" s="63" t="inlineStr">
        <is>
          <t>Harassment or Bullying</t>
        </is>
      </c>
      <c r="B43" s="63">
        <f>IF('Dashboard Pro'!C6="Weekly",SUMPRODUCT((MONTH('Data Entry'!A2:A356)='Dashboard Pro'!Q6)*(YEAR('Data Entry'!A2:A356)='Dashboard Pro'!R6)*(INT((DAY('Data Entry'!A2:A356)-1)/7)+1='Dashboard Pro'!P6)*('Data Entry'!D2:D356=A43)*1),IF('Dashboard Pro'!C6="Monthly",SUMPRODUCT((MONTH('Data Entry'!A2:A356)='Dashboard Pro'!Q6)*(YEAR('Data Entry'!A2:A356)='Dashboard Pro'!R6)*('Data Entry'!D2:D356=A43)*1),IF('Dashboard Pro'!C6="Quarterly",SUMPRODUCT(('Data Entry'!P2:P356='Dashboard Pro'!I6)*('Data Entry'!D2:D356=A43)*1),COUNTIF('Data Entry'!D2:D356,A43))))</f>
        <v/>
      </c>
      <c r="P43" s="62" t="n"/>
      <c r="Q43" s="62" t="n"/>
    </row>
    <row r="44">
      <c r="A44" s="63" t="inlineStr">
        <is>
          <t>Performance Pressure</t>
        </is>
      </c>
      <c r="B44" s="63">
        <f>IF('Dashboard Pro'!C6="Weekly",SUMPRODUCT((MONTH('Data Entry'!A2:A356)='Dashboard Pro'!Q6)*(YEAR('Data Entry'!A2:A356)='Dashboard Pro'!R6)*(INT((DAY('Data Entry'!A2:A356)-1)/7)+1='Dashboard Pro'!P6)*('Data Entry'!D2:D356=A44)*1),IF('Dashboard Pro'!C6="Monthly",SUMPRODUCT((MONTH('Data Entry'!A2:A356)='Dashboard Pro'!Q6)*(YEAR('Data Entry'!A2:A356)='Dashboard Pro'!R6)*('Data Entry'!D2:D356=A44)*1),IF('Dashboard Pro'!C6="Quarterly",SUMPRODUCT(('Data Entry'!P2:P356='Dashboard Pro'!I6)*('Data Entry'!D2:D356=A44)*1),COUNTIF('Data Entry'!D2:D356,A44))))</f>
        <v/>
      </c>
      <c r="P44" s="63" t="n"/>
      <c r="Q44" s="63" t="n"/>
    </row>
    <row r="45">
      <c r="A45" s="63" t="inlineStr">
        <is>
          <t>Assault</t>
        </is>
      </c>
      <c r="B45" s="63">
        <f>IF('Dashboard Pro'!C6="Weekly",SUMPRODUCT((MONTH('Data Entry'!A2:A356)='Dashboard Pro'!Q6)*(YEAR('Data Entry'!A2:A356)='Dashboard Pro'!R6)*(INT((DAY('Data Entry'!A2:A356)-1)/7)+1='Dashboard Pro'!P6)*('Data Entry'!D2:D356=A45)*1),IF('Dashboard Pro'!C6="Monthly",SUMPRODUCT((MONTH('Data Entry'!A2:A356)='Dashboard Pro'!Q6)*(YEAR('Data Entry'!A2:A356)='Dashboard Pro'!R6)*('Data Entry'!D2:D356=A45)*1),IF('Dashboard Pro'!C6="Quarterly",SUMPRODUCT(('Data Entry'!P2:P356='Dashboard Pro'!I6)*('Data Entry'!D2:D356=A45)*1),COUNTIF('Data Entry'!D2:D356,A45))))</f>
        <v/>
      </c>
      <c r="P45" s="63" t="n"/>
      <c r="Q45" s="63" t="n"/>
    </row>
    <row r="46">
      <c r="A46" s="63" t="inlineStr">
        <is>
          <t>Theft</t>
        </is>
      </c>
      <c r="B46" s="63">
        <f>IF('Dashboard Pro'!C6="Weekly",SUMPRODUCT((MONTH('Data Entry'!A2:A356)='Dashboard Pro'!Q6)*(YEAR('Data Entry'!A2:A356)='Dashboard Pro'!R6)*(INT((DAY('Data Entry'!A2:A356)-1)/7)+1='Dashboard Pro'!P6)*('Data Entry'!D2:D356=A46)*1),IF('Dashboard Pro'!C6="Monthly",SUMPRODUCT((MONTH('Data Entry'!A2:A356)='Dashboard Pro'!Q6)*(YEAR('Data Entry'!A2:A356)='Dashboard Pro'!R6)*('Data Entry'!D2:D356=A46)*1),IF('Dashboard Pro'!C6="Quarterly",SUMPRODUCT(('Data Entry'!P2:P356='Dashboard Pro'!I6)*('Data Entry'!D2:D356=A46)*1),COUNTIF('Data Entry'!D2:D356,A46))))</f>
        <v/>
      </c>
    </row>
    <row r="47">
      <c r="A47" s="63" t="inlineStr">
        <is>
          <t>Medical</t>
        </is>
      </c>
      <c r="B47" s="63">
        <f>IF('Dashboard Pro'!C6="Weekly",SUMPRODUCT((MONTH('Data Entry'!A2:A356)='Dashboard Pro'!Q6)*(YEAR('Data Entry'!A2:A356)='Dashboard Pro'!R6)*(INT((DAY('Data Entry'!A2:A356)-1)/7)+1='Dashboard Pro'!P6)*('Data Entry'!D2:D356=A47)*1),IF('Dashboard Pro'!C6="Monthly",SUMPRODUCT((MONTH('Data Entry'!A2:A356)='Dashboard Pro'!Q6)*(YEAR('Data Entry'!A2:A356)='Dashboard Pro'!R6)*('Data Entry'!D2:D356=A47)*1),IF('Dashboard Pro'!C6="Quarterly",SUMPRODUCT(('Data Entry'!P2:P356='Dashboard Pro'!I6)*('Data Entry'!D2:D356=A47)*1),COUNTIF('Data Entry'!D2:D356,A47))))</f>
        <v/>
      </c>
    </row>
    <row r="51">
      <c r="G51" s="177" t="inlineStr">
        <is>
          <t>SEVERITY DATA</t>
        </is>
      </c>
      <c r="J51" s="177" t="inlineStr">
        <is>
          <t>PROGRAM DATA</t>
        </is>
      </c>
      <c r="M51" s="177" t="inlineStr">
        <is>
          <t>DAY OF WEEK DATA</t>
        </is>
      </c>
      <c r="P51" s="177" t="inlineStr">
        <is>
          <t>HOSPITAL TRANSPORT</t>
        </is>
      </c>
    </row>
    <row r="52">
      <c r="G52" s="30" t="inlineStr">
        <is>
          <t>Priority</t>
        </is>
      </c>
      <c r="H52" s="30" t="inlineStr">
        <is>
          <t>Count</t>
        </is>
      </c>
      <c r="J52" s="30" t="inlineStr">
        <is>
          <t>Program</t>
        </is>
      </c>
      <c r="K52" s="30" t="inlineStr">
        <is>
          <t>Count</t>
        </is>
      </c>
      <c r="M52" s="30" t="inlineStr">
        <is>
          <t>Day</t>
        </is>
      </c>
      <c r="N52" s="30" t="inlineStr">
        <is>
          <t>Count</t>
        </is>
      </c>
      <c r="P52" s="30" t="inlineStr">
        <is>
          <t>Status</t>
        </is>
      </c>
      <c r="Q52" s="30" t="inlineStr">
        <is>
          <t>Count</t>
        </is>
      </c>
    </row>
    <row r="53">
      <c r="G53" s="63" t="inlineStr">
        <is>
          <t>P1</t>
        </is>
      </c>
      <c r="H53" s="63">
        <f>IF('Dashboard Pro'!C6="Weekly",SUMPRODUCT((MONTH('Data Entry'!A2:A356)='Dashboard Pro'!Q6)*(YEAR('Data Entry'!A2:A356)='Dashboard Pro'!R6)*(INT((DAY('Data Entry'!A2:A356)-1)/7)+1='Dashboard Pro'!P6)*('Data Entry'!I2:I356=G53)*1),IF('Dashboard Pro'!C6="Monthly",SUMPRODUCT((MONTH('Data Entry'!A2:A356)='Dashboard Pro'!Q6)*(YEAR('Data Entry'!A2:A356)='Dashboard Pro'!R6)*('Data Entry'!I2:I356=G53)*1),IF('Dashboard Pro'!C6="Quarterly",SUMPRODUCT(('Data Entry'!P2:P356='Dashboard Pro'!I6)*('Data Entry'!I2:I356=G53)*1),COUNTIF('Data Entry'!I2:I356,G53))))</f>
        <v/>
      </c>
      <c r="J53" s="63" t="inlineStr">
        <is>
          <t>Open Play</t>
        </is>
      </c>
      <c r="K53" s="63">
        <f>IF('Dashboard Pro'!C6="Weekly",SUMPRODUCT((MONTH('Data Entry'!A2:A356)='Dashboard Pro'!Q6)*(YEAR('Data Entry'!A2:A356)='Dashboard Pro'!R6)*(INT((DAY('Data Entry'!A2:A356)-1)/7)+1='Dashboard Pro'!P6)*(TRIM('Data Entry'!G2:G356)=TRIM(J53))*1),IF('Dashboard Pro'!C6="Monthly",SUMPRODUCT((MONTH('Data Entry'!A2:A356)='Dashboard Pro'!Q6)*(YEAR('Data Entry'!A2:A356)='Dashboard Pro'!R6)*(TRIM('Data Entry'!G2:G356)=TRIM(J53))*1),IF('Dashboard Pro'!C6="Quarterly",SUMPRODUCT(('Data Entry'!P2:P356='Dashboard Pro'!I6)*(TRIM('Data Entry'!G2:G356)=TRIM(J53))*1),SUMPRODUCT((TRIM('Data Entry'!G2:G356)=TRIM(J53))*1))))</f>
        <v/>
      </c>
      <c r="M53" s="63" t="inlineStr">
        <is>
          <t>Monday</t>
        </is>
      </c>
      <c r="N53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  <c r="P53" s="63" t="inlineStr">
        <is>
          <t>YES</t>
        </is>
      </c>
      <c r="Q53" s="63">
        <f>IF('Dashboard Pro'!C6="Weekly",SUMPRODUCT((MONTH('Data Entry'!A2:A356)='Dashboard Pro'!Q6)*(YEAR('Data Entry'!A2:A356)='Dashboard Pro'!R6)*(INT((DAY('Data Entry'!A2:A356)-1)/7)+1='Dashboard Pro'!P6)*('Data Entry'!J2:J356=P53)*1),IF('Dashboard Pro'!C6="Monthly",SUMPRODUCT((MONTH('Data Entry'!A2:A356)='Dashboard Pro'!Q6)*(YEAR('Data Entry'!A2:A356)='Dashboard Pro'!R6)*('Data Entry'!J2:J356=P53)*1),IF('Dashboard Pro'!C6="Quarterly",SUMPRODUCT(('Data Entry'!P2:P356='Dashboard Pro'!I6)*('Data Entry'!J2:J356=P53)*1),COUNTIF('Data Entry'!J2:J356,P53))))</f>
        <v/>
      </c>
    </row>
    <row r="54">
      <c r="G54" s="63" t="inlineStr">
        <is>
          <t>P2</t>
        </is>
      </c>
      <c r="H54" s="63">
        <f>IF('Dashboard Pro'!C6="Weekly",SUMPRODUCT((MONTH('Data Entry'!A2:A356)='Dashboard Pro'!Q6)*(YEAR('Data Entry'!A2:A356)='Dashboard Pro'!R6)*(INT((DAY('Data Entry'!A2:A356)-1)/7)+1='Dashboard Pro'!P6)*('Data Entry'!I2:I356=G54)*1),IF('Dashboard Pro'!C6="Monthly",SUMPRODUCT((MONTH('Data Entry'!A2:A356)='Dashboard Pro'!Q6)*(YEAR('Data Entry'!A2:A356)='Dashboard Pro'!R6)*('Data Entry'!I2:I356=G54)*1),IF('Dashboard Pro'!C6="Quarterly",SUMPRODUCT(('Data Entry'!P2:P356='Dashboard Pro'!I6)*('Data Entry'!I2:I356=G54)*1),COUNTIF('Data Entry'!I2:I356,G54))))</f>
        <v/>
      </c>
      <c r="J54" s="63" t="inlineStr">
        <is>
          <t>Training</t>
        </is>
      </c>
      <c r="K54" s="63">
        <f>IF('Dashboard Pro'!C6="Weekly",SUMPRODUCT((MONTH('Data Entry'!A2:A356)='Dashboard Pro'!Q6)*(YEAR('Data Entry'!A2:A356)='Dashboard Pro'!R6)*(INT((DAY('Data Entry'!A2:A356)-1)/7)+1='Dashboard Pro'!P6)*(TRIM('Data Entry'!G2:G356)=TRIM(J54))*1),IF('Dashboard Pro'!C6="Monthly",SUMPRODUCT((MONTH('Data Entry'!A2:A356)='Dashboard Pro'!Q6)*(YEAR('Data Entry'!A2:A356)='Dashboard Pro'!R6)*(TRIM('Data Entry'!G2:G356)=TRIM(J54))*1),IF('Dashboard Pro'!C6="Quarterly",SUMPRODUCT(('Data Entry'!P2:P356='Dashboard Pro'!I6)*(TRIM('Data Entry'!G2:G356)=TRIM(J54))*1),SUMPRODUCT((TRIM('Data Entry'!G2:G356)=TRIM(J54))*1))))</f>
        <v/>
      </c>
      <c r="M54" s="63" t="inlineStr">
        <is>
          <t>Tuesday</t>
        </is>
      </c>
      <c r="N54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  <c r="P54" s="63" t="inlineStr">
        <is>
          <t>NO</t>
        </is>
      </c>
      <c r="Q54" s="63">
        <f>IF('Dashboard Pro'!C6="Weekly",SUMPRODUCT((MONTH('Data Entry'!A2:A356)='Dashboard Pro'!Q6)*(YEAR('Data Entry'!A2:A356)='Dashboard Pro'!R6)*(INT((DAY('Data Entry'!A2:A356)-1)/7)+1='Dashboard Pro'!P6)*('Data Entry'!J2:J356=P54)*1),IF('Dashboard Pro'!C6="Monthly",SUMPRODUCT((MONTH('Data Entry'!A2:A356)='Dashboard Pro'!Q6)*(YEAR('Data Entry'!A2:A356)='Dashboard Pro'!R6)*('Data Entry'!J2:J356=P54)*1),IF('Dashboard Pro'!C6="Quarterly",SUMPRODUCT(('Data Entry'!P2:P356='Dashboard Pro'!I6)*('Data Entry'!J2:J356=P54)*1),COUNTIF('Data Entry'!J2:J356,P54))))</f>
        <v/>
      </c>
    </row>
    <row r="55">
      <c r="G55" s="63" t="inlineStr">
        <is>
          <t>P3</t>
        </is>
      </c>
      <c r="H55" s="63">
        <f>IF('Dashboard Pro'!C6="Weekly",SUMPRODUCT((MONTH('Data Entry'!A2:A356)='Dashboard Pro'!Q6)*(YEAR('Data Entry'!A2:A356)='Dashboard Pro'!R6)*(INT((DAY('Data Entry'!A2:A356)-1)/7)+1='Dashboard Pro'!P6)*('Data Entry'!I2:I356=G55)*1),IF('Dashboard Pro'!C6="Monthly",SUMPRODUCT((MONTH('Data Entry'!A2:A356)='Dashboard Pro'!Q6)*(YEAR('Data Entry'!A2:A356)='Dashboard Pro'!R6)*('Data Entry'!I2:I356=G55)*1),IF('Dashboard Pro'!C6="Quarterly",SUMPRODUCT(('Data Entry'!P2:P356='Dashboard Pro'!I6)*('Data Entry'!I2:I356=G55)*1),COUNTIF('Data Entry'!I2:I356,G55))))</f>
        <v/>
      </c>
      <c r="J55" s="63" t="inlineStr">
        <is>
          <t>Afternoon Program</t>
        </is>
      </c>
      <c r="K55" s="63">
        <f>IF('Dashboard Pro'!C6="Weekly",SUMPRODUCT((MONTH('Data Entry'!A2:A356)='Dashboard Pro'!Q6)*(YEAR('Data Entry'!A2:A356)='Dashboard Pro'!R6)*(INT((DAY('Data Entry'!A2:A356)-1)/7)+1='Dashboard Pro'!P6)*(TRIM('Data Entry'!G2:G356)=TRIM(J55))*1),IF('Dashboard Pro'!C6="Monthly",SUMPRODUCT((MONTH('Data Entry'!A2:A356)='Dashboard Pro'!Q6)*(YEAR('Data Entry'!A2:A356)='Dashboard Pro'!R6)*(TRIM('Data Entry'!G2:G356)=TRIM(J55))*1),IF('Dashboard Pro'!C6="Quarterly",SUMPRODUCT(('Data Entry'!P2:P356='Dashboard Pro'!I6)*(TRIM('Data Entry'!G2:G356)=TRIM(J55))*1),SUMPRODUCT((TRIM('Data Entry'!G2:G356)=TRIM(J55))*1))))</f>
        <v/>
      </c>
      <c r="M55" s="63" t="inlineStr">
        <is>
          <t>Wednesday</t>
        </is>
      </c>
      <c r="N55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56">
      <c r="G56" s="63" t="inlineStr">
        <is>
          <t>P4</t>
        </is>
      </c>
      <c r="H56" s="63">
        <f>IF('Dashboard Pro'!C6="Weekly",SUMPRODUCT((MONTH('Data Entry'!A2:A356)='Dashboard Pro'!Q6)*(YEAR('Data Entry'!A2:A356)='Dashboard Pro'!R6)*(INT((DAY('Data Entry'!A2:A356)-1)/7)+1='Dashboard Pro'!P6)*('Data Entry'!I2:I356=G56)*1),IF('Dashboard Pro'!C6="Monthly",SUMPRODUCT((MONTH('Data Entry'!A2:A356)='Dashboard Pro'!Q6)*(YEAR('Data Entry'!A2:A356)='Dashboard Pro'!R6)*('Data Entry'!I2:I356=G56)*1),IF('Dashboard Pro'!C6="Quarterly",SUMPRODUCT(('Data Entry'!P2:P356='Dashboard Pro'!I6)*('Data Entry'!I2:I356=G56)*1),COUNTIF('Data Entry'!I2:I356,G56))))</f>
        <v/>
      </c>
      <c r="J56" s="63" t="inlineStr">
        <is>
          <t>Girl Skate</t>
        </is>
      </c>
      <c r="K56" s="63">
        <f>IF('Dashboard Pro'!C6="Weekly",SUMPRODUCT((MONTH('Data Entry'!A2:A356)='Dashboard Pro'!Q6)*(YEAR('Data Entry'!A2:A356)='Dashboard Pro'!R6)*(INT((DAY('Data Entry'!A2:A356)-1)/7)+1='Dashboard Pro'!P6)*(TRIM('Data Entry'!G2:G356)=TRIM(J56))*1),IF('Dashboard Pro'!C6="Monthly",SUMPRODUCT((MONTH('Data Entry'!A2:A356)='Dashboard Pro'!Q6)*(YEAR('Data Entry'!A2:A356)='Dashboard Pro'!R6)*(TRIM('Data Entry'!G2:G356)=TRIM(J56))*1),IF('Dashboard Pro'!C6="Quarterly",SUMPRODUCT(('Data Entry'!P2:P356='Dashboard Pro'!I6)*(TRIM('Data Entry'!G2:G356)=TRIM(J56))*1),SUMPRODUCT((TRIM('Data Entry'!G2:G356)=TRIM(J56))*1))))</f>
        <v/>
      </c>
      <c r="M56" s="63" t="inlineStr">
        <is>
          <t>Thursday</t>
        </is>
      </c>
      <c r="N56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57">
      <c r="J57" s="63" t="inlineStr">
        <is>
          <t>Bystander</t>
        </is>
      </c>
      <c r="K57" s="63">
        <f>IF('Dashboard Pro'!C6="Weekly",SUMPRODUCT((MONTH('Data Entry'!A2:A356)='Dashboard Pro'!Q6)*(YEAR('Data Entry'!A2:A356)='Dashboard Pro'!R6)*(INT((DAY('Data Entry'!A2:A356)-1)/7)+1='Dashboard Pro'!P6)*(TRIM('Data Entry'!G2:G356)=TRIM(J57))*1),IF('Dashboard Pro'!C6="Monthly",SUMPRODUCT((MONTH('Data Entry'!A2:A356)='Dashboard Pro'!Q6)*(YEAR('Data Entry'!A2:A356)='Dashboard Pro'!R6)*(TRIM('Data Entry'!G2:G356)=TRIM(J57))*1),IF('Dashboard Pro'!C6="Quarterly",SUMPRODUCT(('Data Entry'!P2:P356='Dashboard Pro'!I6)*(TRIM('Data Entry'!G2:G356)=TRIM(J57))*1),SUMPRODUCT((TRIM('Data Entry'!G2:G356)=TRIM(J57))*1))))</f>
        <v/>
      </c>
      <c r="M57" s="63" t="inlineStr">
        <is>
          <t>Friday</t>
        </is>
      </c>
      <c r="N57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58">
      <c r="J58" s="63" t="inlineStr">
        <is>
          <t>Yoga</t>
        </is>
      </c>
      <c r="K58" s="63">
        <f>IF('Dashboard Pro'!C6="Weekly",SUMPRODUCT((MONTH('Data Entry'!A2:A356)='Dashboard Pro'!Q6)*(YEAR('Data Entry'!A2:A356)='Dashboard Pro'!R6)*(INT((DAY('Data Entry'!A2:A356)-1)/7)+1='Dashboard Pro'!P6)*(TRIM('Data Entry'!G2:G356)=TRIM(J58))*1),IF('Dashboard Pro'!C6="Monthly",SUMPRODUCT((MONTH('Data Entry'!A2:A356)='Dashboard Pro'!Q6)*(YEAR('Data Entry'!A2:A356)='Dashboard Pro'!R6)*(TRIM('Data Entry'!G2:G356)=TRIM(J58))*1),IF('Dashboard Pro'!C6="Quarterly",SUMPRODUCT(('Data Entry'!P2:P356='Dashboard Pro'!I6)*(TRIM('Data Entry'!G2:G356)=TRIM(J58))*1),SUMPRODUCT((TRIM('Data Entry'!G2:G356)=TRIM(J58))*1))))</f>
        <v/>
      </c>
      <c r="M58" s="63" t="inlineStr">
        <is>
          <t>Saturday</t>
        </is>
      </c>
      <c r="N58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59">
      <c r="J59" s="63" t="inlineStr">
        <is>
          <t>Kicking Boxing</t>
        </is>
      </c>
      <c r="K59" s="63">
        <f>IF('Dashboard Pro'!C6="Weekly",SUMPRODUCT((MONTH('Data Entry'!A2:A356)='Dashboard Pro'!Q6)*(YEAR('Data Entry'!A2:A356)='Dashboard Pro'!R6)*(INT((DAY('Data Entry'!A2:A356)-1)/7)+1='Dashboard Pro'!P6)*(TRIM('Data Entry'!G2:G356)=TRIM(J59))*1),IF('Dashboard Pro'!C6="Monthly",SUMPRODUCT((MONTH('Data Entry'!A2:A356)='Dashboard Pro'!Q6)*(YEAR('Data Entry'!A2:A356)='Dashboard Pro'!R6)*(TRIM('Data Entry'!G2:G356)=TRIM(J59))*1),IF('Dashboard Pro'!C6="Quarterly",SUMPRODUCT(('Data Entry'!P2:P356='Dashboard Pro'!I6)*(TRIM('Data Entry'!G2:G356)=TRIM(J59))*1),SUMPRODUCT((TRIM('Data Entry'!G2:G356)=TRIM(J59))*1))))</f>
        <v/>
      </c>
      <c r="M59" s="63" t="inlineStr">
        <is>
          <t>Sunday</t>
        </is>
      </c>
      <c r="N59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60">
      <c r="J60" s="63" t="inlineStr">
        <is>
          <t>Running with the pack</t>
        </is>
      </c>
      <c r="K60" s="63">
        <f>IF('Dashboard Pro'!C6="Weekly",SUMPRODUCT((MONTH('Data Entry'!A2:A356)='Dashboard Pro'!Q6)*(YEAR('Data Entry'!A2:A356)='Dashboard Pro'!R6)*(INT((DAY('Data Entry'!A2:A356)-1)/7)+1='Dashboard Pro'!P6)*(TRIM('Data Entry'!G2:G356)=TRIM(J60))*1),IF('Dashboard Pro'!C6="Monthly",SUMPRODUCT((MONTH('Data Entry'!A2:A356)='Dashboard Pro'!Q6)*(YEAR('Data Entry'!A2:A356)='Dashboard Pro'!R6)*(TRIM('Data Entry'!G2:G356)=TRIM(J60))*1),IF('Dashboard Pro'!C6="Quarterly",SUMPRODUCT(('Data Entry'!P2:P356='Dashboard Pro'!I6)*(TRIM('Data Entry'!G2:G356)=TRIM(J60))*1),SUMPRODUCT((TRIM('Data Entry'!G2:G356)=TRIM(J60))*1))))</f>
        <v/>
      </c>
    </row>
    <row r="61">
      <c r="J61" s="63" t="inlineStr">
        <is>
          <t>Dancing</t>
        </is>
      </c>
      <c r="K61" s="63">
        <f>IF('Dashboard Pro'!C6="Weekly",SUMPRODUCT((MONTH('Data Entry'!A2:A356)='Dashboard Pro'!Q6)*(YEAR('Data Entry'!A2:A356)='Dashboard Pro'!R6)*(INT((DAY('Data Entry'!A2:A356)-1)/7)+1='Dashboard Pro'!P6)*(TRIM('Data Entry'!G2:G356)=TRIM(J61))*1),IF('Dashboard Pro'!C6="Monthly",SUMPRODUCT((MONTH('Data Entry'!A2:A356)='Dashboard Pro'!Q6)*(YEAR('Data Entry'!A2:A356)='Dashboard Pro'!R6)*(TRIM('Data Entry'!G2:G356)=TRIM(J61))*1),IF('Dashboard Pro'!C6="Quarterly",SUMPRODUCT(('Data Entry'!P2:P356='Dashboard Pro'!I6)*(TRIM('Data Entry'!G2:G356)=TRIM(J61))*1),SUMPRODUCT((TRIM('Data Entry'!G2:G356)=TRIM(J61))*1))))</f>
        <v/>
      </c>
    </row>
    <row r="62">
      <c r="J62" s="63" t="inlineStr">
        <is>
          <t>LFA</t>
        </is>
      </c>
      <c r="K62" s="63">
        <f>IF('Dashboard Pro'!C6="Weekly",SUMPRODUCT((MONTH('Data Entry'!A2:A356)='Dashboard Pro'!Q6)*(YEAR('Data Entry'!A2:A356)='Dashboard Pro'!R6)*(INT((DAY('Data Entry'!A2:A356)-1)/7)+1='Dashboard Pro'!P6)*(TRIM('Data Entry'!G2:G356)=TRIM(J62))*1),IF('Dashboard Pro'!C6="Monthly",SUMPRODUCT((MONTH('Data Entry'!A2:A356)='Dashboard Pro'!Q6)*(YEAR('Data Entry'!A2:A356)='Dashboard Pro'!R6)*(TRIM('Data Entry'!G2:G356)=TRIM(J62))*1),IF('Dashboard Pro'!C6="Quarterly",SUMPRODUCT(('Data Entry'!P2:P356='Dashboard Pro'!I6)*(TRIM('Data Entry'!G2:G356)=TRIM(J62))*1),SUMPRODUCT((TRIM('Data Entry'!G2:G356)=TRIM(J62))*1))))</f>
        <v/>
      </c>
    </row>
    <row r="63">
      <c r="J63" s="63" t="inlineStr">
        <is>
          <t>Morning Show</t>
        </is>
      </c>
      <c r="K63" s="63">
        <f>IF('Dashboard Pro'!C6="Weekly",SUMPRODUCT((MONTH('Data Entry'!A2:A356)='Dashboard Pro'!Q6)*(YEAR('Data Entry'!A2:A356)='Dashboard Pro'!R6)*(INT((DAY('Data Entry'!A2:A356)-1)/7)+1='Dashboard Pro'!P6)*(TRIM('Data Entry'!G2:G356)=TRIM(J63))*1),IF('Dashboard Pro'!C6="Monthly",SUMPRODUCT((MONTH('Data Entry'!A2:A356)='Dashboard Pro'!Q6)*(YEAR('Data Entry'!A2:A356)='Dashboard Pro'!R6)*(TRIM('Data Entry'!G2:G356)=TRIM(J63))*1),IF('Dashboard Pro'!C6="Quarterly",SUMPRODUCT(('Data Entry'!P2:P356='Dashboard Pro'!I6)*(TRIM('Data Entry'!G2:G356)=TRIM(J63))*1),SUMPRODUCT((TRIM('Data Entry'!G2:G356)=TRIM(J63))*1))))</f>
        <v/>
      </c>
    </row>
    <row r="64">
      <c r="J64" s="63" t="inlineStr">
        <is>
          <t>Her Game</t>
        </is>
      </c>
      <c r="K64" s="63">
        <f>IF('Dashboard Pro'!C6="Weekly",SUMPRODUCT((MONTH('Data Entry'!A2:A356)='Dashboard Pro'!Q6)*(YEAR('Data Entry'!A2:A356)='Dashboard Pro'!R6)*(INT((DAY('Data Entry'!A2:A356)-1)/7)+1='Dashboard Pro'!P6)*(TRIM('Data Entry'!G2:G356)=TRIM(J64))*1),IF('Dashboard Pro'!C6="Monthly",SUMPRODUCT((MONTH('Data Entry'!A2:A356)='Dashboard Pro'!Q6)*(YEAR('Data Entry'!A2:A356)='Dashboard Pro'!R6)*(TRIM('Data Entry'!G2:G356)=TRIM(J64))*1),IF('Dashboard Pro'!C6="Quarterly",SUMPRODUCT(('Data Entry'!P2:P356='Dashboard Pro'!I6)*(TRIM('Data Entry'!G2:G356)=TRIM(J64))*1),SUMPRODUCT((TRIM('Data Entry'!G2:G356)=TRIM(J64))*1))))</f>
        <v/>
      </c>
    </row>
    <row r="65">
      <c r="J65" s="63" t="inlineStr">
        <is>
          <t>FNB Tournament</t>
        </is>
      </c>
      <c r="K65" s="63">
        <f>IF('Dashboard Pro'!C6="Weekly",SUMPRODUCT((MONTH('Data Entry'!A2:A356)='Dashboard Pro'!Q6)*(YEAR('Data Entry'!A2:A356)='Dashboard Pro'!R6)*(INT((DAY('Data Entry'!A2:A356)-1)/7)+1='Dashboard Pro'!P6)*(TRIM('Data Entry'!G2:G356)=TRIM(J65))*1),IF('Dashboard Pro'!C6="Monthly",SUMPRODUCT((MONTH('Data Entry'!A2:A356)='Dashboard Pro'!Q6)*(YEAR('Data Entry'!A2:A356)='Dashboard Pro'!R6)*(TRIM('Data Entry'!G2:G356)=TRIM(J65))*1),IF('Dashboard Pro'!C6="Quarterly",SUMPRODUCT(('Data Entry'!P2:P356='Dashboard Pro'!I6)*(TRIM('Data Entry'!G2:G356)=TRIM(J65))*1),SUMPRODUCT((TRIM('Data Entry'!G2:G356)=TRIM(J65))*1))))</f>
        <v/>
      </c>
    </row>
    <row r="66">
      <c r="J66" s="63" t="inlineStr">
        <is>
          <t>OR Tambo Soncini Games</t>
        </is>
      </c>
      <c r="K66" s="63">
        <f>IF('Dashboard Pro'!C6="Weekly",SUMPRODUCT((MONTH('Data Entry'!A2:A356)='Dashboard Pro'!Q6)*(YEAR('Data Entry'!A2:A356)='Dashboard Pro'!R6)*(INT((DAY('Data Entry'!A2:A356)-1)/7)+1='Dashboard Pro'!P6)*(TRIM('Data Entry'!G2:G356)=TRIM(J66))*1),IF('Dashboard Pro'!C6="Monthly",SUMPRODUCT((MONTH('Data Entry'!A2:A356)='Dashboard Pro'!Q6)*(YEAR('Data Entry'!A2:A356)='Dashboard Pro'!R6)*(TRIM('Data Entry'!G2:G356)=TRIM(J66))*1),IF('Dashboard Pro'!C6="Quarterly",SUMPRODUCT(('Data Entry'!P2:P356='Dashboard Pro'!I6)*(TRIM('Data Entry'!G2:G356)=TRIM(J66))*1),SUMPRODUCT((TRIM('Data Entry'!G2:G356)=TRIM(J66))*1))))</f>
        <v/>
      </c>
    </row>
    <row r="67">
      <c r="J67" s="63" t="inlineStr">
        <is>
          <t>Clinic Stix Morewa Challenge</t>
        </is>
      </c>
      <c r="K67" s="63">
        <f>IF('Dashboard Pro'!C6="Weekly",SUMPRODUCT((MONTH('Data Entry'!A2:A356)='Dashboard Pro'!Q6)*(YEAR('Data Entry'!A2:A356)='Dashboard Pro'!R6)*(INT((DAY('Data Entry'!A2:A356)-1)/7)+1='Dashboard Pro'!P6)*(TRIM('Data Entry'!G2:G356)=TRIM(J67))*1),IF('Dashboard Pro'!C6="Monthly",SUMPRODUCT((MONTH('Data Entry'!A2:A356)='Dashboard Pro'!Q6)*(YEAR('Data Entry'!A2:A356)='Dashboard Pro'!R6)*(TRIM('Data Entry'!G2:G356)=TRIM(J67))*1),IF('Dashboard Pro'!C6="Quarterly",SUMPRODUCT(('Data Entry'!P2:P356='Dashboard Pro'!I6)*(TRIM('Data Entry'!G2:G356)=TRIM(J67))*1),SUMPRODUCT((TRIM('Data Entry'!G2:G356)=TRIM(J67))*1))))</f>
        <v/>
      </c>
    </row>
    <row r="68">
      <c r="J68" s="63" t="inlineStr">
        <is>
          <t>Discovery  Challenge</t>
        </is>
      </c>
      <c r="K68" s="63">
        <f>IF('Dashboard Pro'!C6="Weekly",SUMPRODUCT((MONTH('Data Entry'!A2:A356)='Dashboard Pro'!Q6)*(YEAR('Data Entry'!A2:A356)='Dashboard Pro'!R6)*(INT((DAY('Data Entry'!A2:A356)-1)/7)+1='Dashboard Pro'!P6)*(TRIM('Data Entry'!G2:G356)=TRIM(J68))*1),IF('Dashboard Pro'!C6="Monthly",SUMPRODUCT((MONTH('Data Entry'!A2:A356)='Dashboard Pro'!Q6)*(YEAR('Data Entry'!A2:A356)='Dashboard Pro'!R6)*(TRIM('Data Entry'!G2:G356)=TRIM(J68))*1),IF('Dashboard Pro'!C6="Quarterly",SUMPRODUCT(('Data Entry'!P2:P356='Dashboard Pro'!I6)*(TRIM('Data Entry'!G2:G356)=TRIM(J68))*1),SUMPRODUCT((TRIM('Data Entry'!G2:G356)=TRIM(J68))*1))))</f>
        <v/>
      </c>
    </row>
    <row r="69">
      <c r="J69" s="63" t="inlineStr">
        <is>
          <t>NONE SPORTS CENTER</t>
        </is>
      </c>
      <c r="K69" s="63">
        <f>IF('Dashboard Pro'!C6="Weekly",SUMPRODUCT((MONTH('Data Entry'!A2:A356)='Dashboard Pro'!Q6)*(YEAR('Data Entry'!A2:A356)='Dashboard Pro'!R6)*(INT((DAY('Data Entry'!A2:A356)-1)/7)+1='Dashboard Pro'!P6)*(TRIM('Data Entry'!G2:G356)=TRIM(J69))*1),IF('Dashboard Pro'!C6="Monthly",SUMPRODUCT((MONTH('Data Entry'!A2:A356)='Dashboard Pro'!Q6)*(YEAR('Data Entry'!A2:A356)='Dashboard Pro'!R6)*(TRIM('Data Entry'!G2:G356)=TRIM(J69))*1),IF('Dashboard Pro'!C6="Quarterly",SUMPRODUCT(('Data Entry'!P2:P356='Dashboard Pro'!I6)*(TRIM('Data Entry'!G2:G356)=TRIM(J69))*1),SUMPRODUCT((TRIM('Data Entry'!G2:G356)=TRIM(J69))*1))))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2025-12-04T18:14:02Z</dcterms:modified>
  <cp:lastModifiedBy>stephen tapala</cp:lastModifiedBy>
</cp:coreProperties>
</file>