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9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</fonts>
  <fills count="2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</fills>
  <borders count="7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</cellXfs>
  <cellStyles count="1">
    <cellStyle name="Normal" xfId="0" builtinId="0"/>
  </cellStyles>
  <dxfs count="3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504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32</row>
      <rowOff>0</rowOff>
    </from>
    <ext cx="576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040000" cy="39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50</row>
      <rowOff>0</rowOff>
    </from>
    <ext cx="5040000" cy="39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50</row>
      <rowOff>0</rowOff>
    </from>
    <ext cx="5040000" cy="39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68</row>
      <rowOff>0</rowOff>
    </from>
    <ext cx="576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68</row>
      <rowOff>0</rowOff>
    </from>
    <ext cx="5040000" cy="39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38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4" customWidth="1" style="21" min="6" max="6"/>
    <col width="14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62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63">
        <f>"CURRENT: "&amp;IF(C6="Weekly",E6&amp;" - "&amp;G6,IF(C6="Monthly",E6,IF(C6="Quarterly",I6,"All Time")))</f>
        <v/>
      </c>
      <c r="H117" s="163">
        <f>"vs PREVIOUS: "&amp;IF(C6="Weekly",IF(P6&gt;1,E6&amp;" - Week "&amp;(P6-1),TEXT(DATE(R6,Q6-1,1),"MMM-YY")&amp;" - Week 5"),IF(C6="Monthly",TEXT(DATE(R6,Q6-1,1),"MMM-YY"),IF(C6="Quarterly",IF(I6="Q1","Q4",IF(I6="Q2","Q1",IF(I6="Q3","Q2","Q3"))),"Previous Year")))</f>
        <v/>
      </c>
    </row>
    <row r="118" ht="22" customHeight="1" s="21">
      <c r="B118" s="164" t="inlineStr">
        <is>
          <t>Metric</t>
        </is>
      </c>
      <c r="C118" s="166" t="n"/>
      <c r="D118" s="164" t="inlineStr">
        <is>
          <t>Current</t>
        </is>
      </c>
      <c r="E118" s="164" t="inlineStr">
        <is>
          <t>Previous</t>
        </is>
      </c>
      <c r="F118" s="164" t="inlineStr">
        <is>
          <t>Change</t>
        </is>
      </c>
      <c r="G118" s="164" t="inlineStr">
        <is>
          <t>Trend</t>
        </is>
      </c>
    </row>
    <row r="119" ht="22" customHeight="1" s="21">
      <c r="B119" s="167" t="inlineStr">
        <is>
          <t>Total Incidents</t>
        </is>
      </c>
      <c r="C119" s="171" t="n"/>
      <c r="D119" s="168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68">
        <f>IF(C6="Weekly",IF(P6&gt;1,SUMPRODUCT((MONTH('Data Entry'!A2:A356)=Q6)*(YEAR('Data Entry'!A2:A356)=R6)*(INT((DAY('Data Entry'!A2:A356)-1)/7)+1=(P6-1))*1),SUMPRODUCT((MONTH('Data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Entry'!P2:P356=IF(I6="Q1","Q4",IF(I6="Q2","Q1",IF(I6="Q3","Q2","Q3"))))*1),0)))</f>
        <v/>
      </c>
      <c r="F119" s="169">
        <f>IFERROR(IF(E119=0,IF(D119=0,"0%","NEW"),TEXT((D119-E119)/E119,"+0%;-0%")),"-")</f>
        <v/>
      </c>
      <c r="G119" s="170">
        <f>IF(D119&gt;E119,"↑ INCREASED",IF(D119&lt;E119,"↓ IMPROVED",IF(D119=E119,"→ STEADY","-")))</f>
        <v/>
      </c>
    </row>
    <row r="120" ht="22" customHeight="1" s="21">
      <c r="B120" s="167" t="inlineStr">
        <is>
          <t>Hospital Transport</t>
        </is>
      </c>
      <c r="C120" s="171" t="n"/>
      <c r="D120" s="168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68">
        <f>IF(C6="Weekly",IF(P6&gt;1,SUMPRODUCT((MONTH('Data Entry'!A2:A356)=Q6)*(YEAR('Data Entry'!A2:A356)=R6)*(INT((DAY('Data Entry'!A2:A356)-1)/7)+1=(P6-1))*('Data Entry'!J2:J356="Yes")*1),SUMPRODUCT((MONTH('Data Entry'!A2:A356)=IF(Q6=1,12,Q6-1))*(YEAR('Data Entry'!A2:A356)=IF(Q6=1,R6-1,R6))*(INT((DAY('Data Entry'!A2:A356)-1)/7)+1=5)*('Data Entry'!J2:J356="Yes")*1)),IF(C6="Monthly",SUMPRODUCT((MONTH('Data Entry'!A2:A356)=IF(Q6=1,12,Q6-1))*(YEAR('Data Entry'!A2:A356)=IF(Q6=1,R6-1,R6))*('Data Entry'!J2:J356="Yes")*1),IF(C6="Quarterly",SUMPRODUCT(('Data Entry'!P2:P356=IF(I6="Q1","Q4",IF(I6="Q2","Q1",IF(I6="Q3","Q2","Q3"))))*('Data Entry'!J2:J356="Yes")*1),0)))</f>
        <v/>
      </c>
      <c r="F120" s="169">
        <f>IFERROR(IF(E120=0,IF(D120=0,"0%","NEW"),TEXT((D120-E120)/E120,"+0%;-0%")),"-")</f>
        <v/>
      </c>
      <c r="G120" s="170">
        <f>IF(D120&gt;E120,"↑ INCREASED",IF(D120&lt;E120,"↓ IMPROVED",IF(D120=E120,"→ STEADY","-")))</f>
        <v/>
      </c>
    </row>
    <row r="121" ht="22" customHeight="1" s="21">
      <c r="B121" s="167" t="inlineStr">
        <is>
          <t>P1 Critical</t>
        </is>
      </c>
      <c r="C121" s="171" t="n"/>
      <c r="D121" s="168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68">
        <f>IF(C6="Weekly",IF(P6&gt;1,SUMPRODUCT((MONTH('Data Entry'!A2:A356)=Q6)*(YEAR('Data Entry'!A2:A356)=R6)*(INT((DAY('Data Entry'!A2:A356)-1)/7)+1=(P6-1))*('Data Entry'!I2:I356="P1")*1),SUMPRODUCT((MONTH('Data Entry'!A2:A356)=IF(Q6=1,12,Q6-1))*(YEAR('Data Entry'!A2:A356)=IF(Q6=1,R6-1,R6))*(INT((DAY('Data Entry'!A2:A356)-1)/7)+1=5)*('Data Entry'!I2:I356="P1")*1)),IF(C6="Monthly",SUMPRODUCT((MONTH('Data Entry'!A2:A356)=IF(Q6=1,12,Q6-1))*(YEAR('Data Entry'!A2:A356)=IF(Q6=1,R6-1,R6))*('Data Entry'!I2:I356="P1")*1),IF(C6="Quarterly",SUMPRODUCT(('Data Entry'!P2:P356=IF(I6="Q1","Q4",IF(I6="Q2","Q1",IF(I6="Q3","Q2","Q3"))))*('Data Entry'!I2:I356="P1")*1),0)))</f>
        <v/>
      </c>
      <c r="F121" s="169">
        <f>IFERROR(IF(E121=0,IF(D121=0,"0%","NEW"),TEXT((D121-E121)/E121,"+0%;-0%")),"-")</f>
        <v/>
      </c>
      <c r="G121" s="170">
        <f>IF(D121&gt;E121,"↑ INCREASED",IF(D121&lt;E121,"↓ IMPROVED",IF(D121=E121,"→ STEADY","-")))</f>
        <v/>
      </c>
    </row>
    <row r="122" ht="22" customHeight="1" s="21">
      <c r="B122" s="167" t="inlineStr">
        <is>
          <t>P2 Urgent</t>
        </is>
      </c>
      <c r="C122" s="171" t="n"/>
      <c r="D122" s="168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68">
        <f>IF(C6="Weekly",IF(P6&gt;1,SUMPRODUCT((MONTH('Data Entry'!A2:A356)=Q6)*(YEAR('Data Entry'!A2:A356)=R6)*(INT((DAY('Data Entry'!A2:A356)-1)/7)+1=(P6-1))*('Data Entry'!I2:I356="P2")*1),SUMPRODUCT((MONTH('Data Entry'!A2:A356)=IF(Q6=1,12,Q6-1))*(YEAR('Data Entry'!A2:A356)=IF(Q6=1,R6-1,R6))*(INT((DAY('Data Entry'!A2:A356)-1)/7)+1=5)*('Data Entry'!I2:I356="P2")*1)),IF(C6="Monthly",SUMPRODUCT((MONTH('Data Entry'!A2:A356)=IF(Q6=1,12,Q6-1))*(YEAR('Data Entry'!A2:A356)=IF(Q6=1,R6-1,R6))*('Data Entry'!I2:I356="P2")*1),IF(C6="Quarterly",SUMPRODUCT(('Data Entry'!P2:P356=IF(I6="Q1","Q4",IF(I6="Q2","Q1",IF(I6="Q3","Q2","Q3"))))*('Data Entry'!I2:I356="P2")*1),0)))</f>
        <v/>
      </c>
      <c r="F122" s="169">
        <f>IFERROR(IF(E122=0,IF(D122=0,"0%","NEW"),TEXT((D122-E122)/E122,"+0%;-0%")),"-")</f>
        <v/>
      </c>
      <c r="G122" s="170">
        <f>IF(D122&gt;E122,"↑ INCREASED",IF(D122&lt;E122,"↓ IMPROVED",IF(D122=E122,"→ STEADY","-")))</f>
        <v/>
      </c>
    </row>
    <row r="123" ht="22" customHeight="1" s="21">
      <c r="B123" s="167" t="inlineStr">
        <is>
          <t>P3 Standard</t>
        </is>
      </c>
      <c r="C123" s="171" t="n"/>
      <c r="D123" s="168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68">
        <f>IF(C6="Weekly",IF(P6&gt;1,SUMPRODUCT((MONTH('Data Entry'!A2:A356)=Q6)*(YEAR('Data Entry'!A2:A356)=R6)*(INT((DAY('Data Entry'!A2:A356)-1)/7)+1=(P6-1))*('Data Entry'!I2:I356="P3")*1),SUMPRODUCT((MONTH('Data Entry'!A2:A356)=IF(Q6=1,12,Q6-1))*(YEAR('Data Entry'!A2:A356)=IF(Q6=1,R6-1,R6))*(INT((DAY('Data Entry'!A2:A356)-1)/7)+1=5)*('Data Entry'!I2:I356="P3")*1)),IF(C6="Monthly",SUMPRODUCT((MONTH('Data Entry'!A2:A356)=IF(Q6=1,12,Q6-1))*(YEAR('Data Entry'!A2:A356)=IF(Q6=1,R6-1,R6))*('Data Entry'!I2:I356="P3")*1),IF(C6="Quarterly",SUMPRODUCT(('Data Entry'!P2:P356=IF(I6="Q1","Q4",IF(I6="Q2","Q1",IF(I6="Q3","Q2","Q3"))))*('Data Entry'!I2:I356="P3")*1),0)))</f>
        <v/>
      </c>
      <c r="F123" s="169">
        <f>IFERROR(IF(E123=0,IF(D123=0,"0%","NEW"),TEXT((D123-E123)/E123,"+0%;-0%")),"-")</f>
        <v/>
      </c>
      <c r="G123" s="170">
        <f>IF(D123&gt;E123,"↑ INCREASED",IF(D123&lt;E123,"↓ IMPROVED",IF(D123=E123,"→ STEADY","-")))</f>
        <v/>
      </c>
    </row>
    <row r="124" ht="22" customHeight="1" s="21">
      <c r="B124" s="167" t="inlineStr">
        <is>
          <t>Minor Incidents</t>
        </is>
      </c>
      <c r="C124" s="171" t="n"/>
      <c r="D124" s="168">
        <f>IF(C6="Weekly",SUMPRODUCT((MONTH('Data Entry'!A2:A356)=Q6)*(YEAR('Data Entry'!A2:A356)=R6)*(INT((DAY('Data Entry'!A2:A356)-1)/7)+1=P6)*('Data Entry'!C2:C356&lt;18)*1),IF(C6="Monthly",SUMPRODUCT((MONTH('Data Entry'!A2:A356)=Q6)*(YEAR('Data Entry'!A2:A356)=R6)*('Data Entry'!C2:C356&lt;18)*1),IF(C6="Quarterly",SUMPRODUCT(('Data Entry'!P2:P356=I6)*('Data Entry'!C2:C356&lt;18)*1),SUMPRODUCT(('Data Entry'!C2:C356&lt;18)*1))))</f>
        <v/>
      </c>
      <c r="E124" s="168">
        <f>IF(C6="Weekly",IF(P6&gt;1,SUMPRODUCT((MONTH('Data Entry'!A2:A356)=Q6)*(YEAR('Data Entry'!A2:A356)=R6)*(INT((DAY('Data Entry'!A2:A356)-1)/7)+1=(P6-1))*('Data Entry'!C2:C356&lt;18)*1),SUMPRODUCT((MONTH('Data Entry'!A2:A356)=IF(Q6=1,12,Q6-1))*(YEAR('Data Entry'!A2:A356)=IF(Q6=1,R6-1,R6))*(INT((DAY('Data Entry'!A2:A356)-1)/7)+1=5)*('Data Entry'!C2:C356&lt;18)*1)),IF(C6="Monthly",SUMPRODUCT((MONTH('Data Entry'!A2:A356)=IF(Q6=1,12,Q6-1))*(YEAR('Data Entry'!A2:A356)=IF(Q6=1,R6-1,R6))*('Data Entry'!C2:C356&lt;18)*1),IF(C6="Quarterly",SUMPRODUCT(('Data Entry'!P2:P356=IF(I6="Q1","Q4",IF(I6="Q2","Q1",IF(I6="Q3","Q2","Q3"))))*('Data Entry'!C2:C356&lt;18)*1),0)))</f>
        <v/>
      </c>
      <c r="F124" s="169">
        <f>IFERROR(IF(E124=0,IF(D124=0,"0%","NEW"),TEXT((D124-E124)/E124,"+0%;-0%")),"-")</f>
        <v/>
      </c>
      <c r="G124" s="170">
        <f>IF(D124&gt;E124,"↑ INCREASED",IF(D124&lt;E124,"↓ IMPROVED",IF(D124=E124,"→ STEADY","-")))</f>
        <v/>
      </c>
    </row>
    <row r="125" ht="15" customHeight="1" s="21"/>
    <row r="126" ht="22" customHeight="1" s="21">
      <c r="B126" s="164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72" t="inlineStr">
        <is>
          <t>Venue</t>
        </is>
      </c>
      <c r="C127" s="171" t="n"/>
      <c r="D127" s="172" t="inlineStr">
        <is>
          <t>Current</t>
        </is>
      </c>
      <c r="E127" s="172" t="inlineStr">
        <is>
          <t>Previous</t>
        </is>
      </c>
      <c r="F127" s="172" t="inlineStr">
        <is>
          <t>Change</t>
        </is>
      </c>
      <c r="G127" s="172" t="inlineStr">
        <is>
          <t>Trend</t>
        </is>
      </c>
    </row>
    <row r="128" ht="20" customHeight="1" s="21">
      <c r="B128" s="173" t="inlineStr">
        <is>
          <t>Skate Park</t>
        </is>
      </c>
      <c r="C128" s="175" t="n"/>
      <c r="D128" s="174">
        <f>IF(C6="Weekly",SUMPRODUCT((MONTH('Data Entry'!A2:A356)=Q6)*(YEAR('Data Entry'!A2:A356)=R6)*(INT((DAY('Data Entry'!A2:A356)-1)/7)+1=P6)*('Data Entry'!F2:F356=$B128)*1),IF(C6="Monthly",SUMPRODUCT((MONTH('Data Entry'!A2:A356)=Q6)*(YEAR('Data Entry'!A2:A356)=R6)*('Data Entry'!F2:F356=$B128)*1),IF(C6="Quarterly",SUMPRODUCT(('Data Entry'!P2:P356=I6)*('Data Entry'!F2:F356=$B128)*1),COUNTIF('Data Entry'!F2:F356,$B128))))</f>
        <v/>
      </c>
      <c r="E128" s="174">
        <f>IF(C6="Weekly",IF(P6&gt;1,SUMPRODUCT((MONTH('Data Entry'!A2:A356)=Q6)*(YEAR('Data Entry'!A2:A356)=R6)*(INT((DAY('Data Entry'!A2:A356)-1)/7)+1=(P6-1))*('Data Entry'!F2:F356=$B128)*1),SUMPRODUCT((MONTH('Data Entry'!A2:A356)=IF(Q6=1,12,Q6-1))*(YEAR('Data Entry'!A2:A356)=IF(Q6=1,R6-1,R6))*(INT((DAY('Data Entry'!A2:A356)-1)/7)+1=5)*('Data Entry'!F2:F356=$B128)*1)),IF(C6="Monthly",SUMPRODUCT((MONTH('Data Entry'!A2:A356)=IF(Q6=1,12,Q6-1))*(YEAR('Data Entry'!A2:A356)=IF(Q6=1,R6-1,R6))*('Data Entry'!F2:F356=$B128)*1),IF(C6="Quarterly",SUMPRODUCT(('Data Entry'!P2:P356=IF(I6="Q1","Q4",IF(I6="Q2","Q1",IF(I6="Q3","Q2","Q3"))))*('Data Entry'!F2:F356=$B128)*1),0)))</f>
        <v/>
      </c>
      <c r="F128" s="170">
        <f>IFERROR(IF(E128=0,IF(D128=0,"0%","NEW"),TEXT((D128-E128)/E128,"+0%;-0%")),"-")</f>
        <v/>
      </c>
      <c r="G128" s="170">
        <f>IF(D128&gt;E128,"↑ UP",IF(D128&lt;E128,"↓ DOWN",IF(D128=E128,"→ SAME","-")))</f>
        <v/>
      </c>
    </row>
    <row r="129" ht="20" customHeight="1" s="21">
      <c r="B129" s="173" t="inlineStr">
        <is>
          <t xml:space="preserve">5 A side </t>
        </is>
      </c>
      <c r="C129" s="175" t="n"/>
      <c r="D129" s="174">
        <f>IF(C6="Weekly",SUMPRODUCT((MONTH('Data Entry'!A2:A356)=Q6)*(YEAR('Data Entry'!A2:A356)=R6)*(INT((DAY('Data Entry'!A2:A356)-1)/7)+1=P6)*('Data Entry'!F2:F356=$B129)*1),IF(C6="Monthly",SUMPRODUCT((MONTH('Data Entry'!A2:A356)=Q6)*(YEAR('Data Entry'!A2:A356)=R6)*('Data Entry'!F2:F356=$B129)*1),IF(C6="Quarterly",SUMPRODUCT(('Data Entry'!P2:P356=I6)*('Data Entry'!F2:F356=$B129)*1),COUNTIF('Data Entry'!F2:F356,$B129))))</f>
        <v/>
      </c>
      <c r="E129" s="174">
        <f>IF(C6="Weekly",IF(P6&gt;1,SUMPRODUCT((MONTH('Data Entry'!A2:A356)=Q6)*(YEAR('Data Entry'!A2:A356)=R6)*(INT((DAY('Data Entry'!A2:A356)-1)/7)+1=(P6-1))*('Data Entry'!F2:F356=$B129)*1),SUMPRODUCT((MONTH('Data Entry'!A2:A356)=IF(Q6=1,12,Q6-1))*(YEAR('Data Entry'!A2:A356)=IF(Q6=1,R6-1,R6))*(INT((DAY('Data Entry'!A2:A356)-1)/7)+1=5)*('Data Entry'!F2:F356=$B129)*1)),IF(C6="Monthly",SUMPRODUCT((MONTH('Data Entry'!A2:A356)=IF(Q6=1,12,Q6-1))*(YEAR('Data Entry'!A2:A356)=IF(Q6=1,R6-1,R6))*('Data Entry'!F2:F356=$B129)*1),IF(C6="Quarterly",SUMPRODUCT(('Data Entry'!P2:P356=IF(I6="Q1","Q4",IF(I6="Q2","Q1",IF(I6="Q3","Q2","Q3"))))*('Data Entry'!F2:F356=$B129)*1),0)))</f>
        <v/>
      </c>
      <c r="F129" s="170">
        <f>IFERROR(IF(E129=0,IF(D129=0,"0%","NEW"),TEXT((D129-E129)/E129,"+0%;-0%")),"-")</f>
        <v/>
      </c>
      <c r="G129" s="170">
        <f>IF(D129&gt;E129,"↑ UP",IF(D129&lt;E129,"↓ DOWN",IF(D129=E129,"→ SAME","-")))</f>
        <v/>
      </c>
    </row>
    <row r="130" ht="20" customHeight="1" s="21">
      <c r="B130" s="173" t="inlineStr">
        <is>
          <t>Basketball</t>
        </is>
      </c>
      <c r="C130" s="175" t="n"/>
      <c r="D130" s="174">
        <f>IF(C6="Weekly",SUMPRODUCT((MONTH('Data Entry'!A2:A356)=Q6)*(YEAR('Data Entry'!A2:A356)=R6)*(INT((DAY('Data Entry'!A2:A356)-1)/7)+1=P6)*('Data Entry'!F2:F356=$B130)*1),IF(C6="Monthly",SUMPRODUCT((MONTH('Data Entry'!A2:A356)=Q6)*(YEAR('Data Entry'!A2:A356)=R6)*('Data Entry'!F2:F356=$B130)*1),IF(C6="Quarterly",SUMPRODUCT(('Data Entry'!P2:P356=I6)*('Data Entry'!F2:F356=$B130)*1),COUNTIF('Data Entry'!F2:F356,$B130))))</f>
        <v/>
      </c>
      <c r="E130" s="174">
        <f>IF(C6="Weekly",IF(P6&gt;1,SUMPRODUCT((MONTH('Data Entry'!A2:A356)=Q6)*(YEAR('Data Entry'!A2:A356)=R6)*(INT((DAY('Data Entry'!A2:A356)-1)/7)+1=(P6-1))*('Data Entry'!F2:F356=$B130)*1),SUMPRODUCT((MONTH('Data Entry'!A2:A356)=IF(Q6=1,12,Q6-1))*(YEAR('Data Entry'!A2:A356)=IF(Q6=1,R6-1,R6))*(INT((DAY('Data Entry'!A2:A356)-1)/7)+1=5)*('Data Entry'!F2:F356=$B130)*1)),IF(C6="Monthly",SUMPRODUCT((MONTH('Data Entry'!A2:A356)=IF(Q6=1,12,Q6-1))*(YEAR('Data Entry'!A2:A356)=IF(Q6=1,R6-1,R6))*('Data Entry'!F2:F356=$B130)*1),IF(C6="Quarterly",SUMPRODUCT(('Data Entry'!P2:P356=IF(I6="Q1","Q4",IF(I6="Q2","Q1",IF(I6="Q3","Q2","Q3"))))*('Data Entry'!F2:F356=$B130)*1),0)))</f>
        <v/>
      </c>
      <c r="F130" s="170">
        <f>IFERROR(IF(E130=0,IF(D130=0,"0%","NEW"),TEXT((D130-E130)/E130,"+0%;-0%")),"-")</f>
        <v/>
      </c>
      <c r="G130" s="170">
        <f>IF(D130&gt;E130,"↑ UP",IF(D130&lt;E130,"↓ DOWN",IF(D130=E130,"→ SAME","-")))</f>
        <v/>
      </c>
    </row>
    <row r="131" ht="20" customHeight="1" s="21">
      <c r="B131" s="173" t="inlineStr">
        <is>
          <t>Outdoor gym</t>
        </is>
      </c>
      <c r="C131" s="175" t="n"/>
      <c r="D131" s="174">
        <f>IF(C6="Weekly",SUMPRODUCT((MONTH('Data Entry'!A2:A356)=Q6)*(YEAR('Data Entry'!A2:A356)=R6)*(INT((DAY('Data Entry'!A2:A356)-1)/7)+1=P6)*('Data Entry'!F2:F356=$B131)*1),IF(C6="Monthly",SUMPRODUCT((MONTH('Data Entry'!A2:A356)=Q6)*(YEAR('Data Entry'!A2:A356)=R6)*('Data Entry'!F2:F356=$B131)*1),IF(C6="Quarterly",SUMPRODUCT(('Data Entry'!P2:P356=I6)*('Data Entry'!F2:F356=$B131)*1),COUNTIF('Data Entry'!F2:F356,$B131))))</f>
        <v/>
      </c>
      <c r="E131" s="174">
        <f>IF(C6="Weekly",IF(P6&gt;1,SUMPRODUCT((MONTH('Data Entry'!A2:A356)=Q6)*(YEAR('Data Entry'!A2:A356)=R6)*(INT((DAY('Data Entry'!A2:A356)-1)/7)+1=(P6-1))*('Data Entry'!F2:F356=$B131)*1),SUMPRODUCT((MONTH('Data Entry'!A2:A356)=IF(Q6=1,12,Q6-1))*(YEAR('Data Entry'!A2:A356)=IF(Q6=1,R6-1,R6))*(INT((DAY('Data Entry'!A2:A356)-1)/7)+1=5)*('Data Entry'!F2:F356=$B131)*1)),IF(C6="Monthly",SUMPRODUCT((MONTH('Data Entry'!A2:A356)=IF(Q6=1,12,Q6-1))*(YEAR('Data Entry'!A2:A356)=IF(Q6=1,R6-1,R6))*('Data Entry'!F2:F356=$B131)*1),IF(C6="Quarterly",SUMPRODUCT(('Data Entry'!P2:P356=IF(I6="Q1","Q4",IF(I6="Q2","Q1",IF(I6="Q3","Q2","Q3"))))*('Data Entry'!F2:F356=$B131)*1),0)))</f>
        <v/>
      </c>
      <c r="F131" s="170">
        <f>IFERROR(IF(E131=0,IF(D131=0,"0%","NEW"),TEXT((D131-E131)/E131,"+0%;-0%")),"-")</f>
        <v/>
      </c>
      <c r="G131" s="170">
        <f>IF(D131&gt;E131,"↑ UP",IF(D131&lt;E131,"↓ DOWN",IF(D131=E131,"→ SAME","-")))</f>
        <v/>
      </c>
    </row>
    <row r="132" ht="20" customHeight="1" s="21">
      <c r="B132" s="173" t="inlineStr">
        <is>
          <t>JDI Studio</t>
        </is>
      </c>
      <c r="C132" s="175" t="n"/>
      <c r="D132" s="174">
        <f>IF(C6="Weekly",SUMPRODUCT((MONTH('Data Entry'!A2:A356)=Q6)*(YEAR('Data Entry'!A2:A356)=R6)*(INT((DAY('Data Entry'!A2:A356)-1)/7)+1=P6)*('Data Entry'!F2:F356=$B132)*1),IF(C6="Monthly",SUMPRODUCT((MONTH('Data Entry'!A2:A356)=Q6)*(YEAR('Data Entry'!A2:A356)=R6)*('Data Entry'!F2:F356=$B132)*1),IF(C6="Quarterly",SUMPRODUCT(('Data Entry'!P2:P356=I6)*('Data Entry'!F2:F356=$B132)*1),COUNTIF('Data Entry'!F2:F356,$B132))))</f>
        <v/>
      </c>
      <c r="E132" s="174">
        <f>IF(C6="Weekly",IF(P6&gt;1,SUMPRODUCT((MONTH('Data Entry'!A2:A356)=Q6)*(YEAR('Data Entry'!A2:A356)=R6)*(INT((DAY('Data Entry'!A2:A356)-1)/7)+1=(P6-1))*('Data Entry'!F2:F356=$B132)*1),SUMPRODUCT((MONTH('Data Entry'!A2:A356)=IF(Q6=1,12,Q6-1))*(YEAR('Data Entry'!A2:A356)=IF(Q6=1,R6-1,R6))*(INT((DAY('Data Entry'!A2:A356)-1)/7)+1=5)*('Data Entry'!F2:F356=$B132)*1)),IF(C6="Monthly",SUMPRODUCT((MONTH('Data Entry'!A2:A356)=IF(Q6=1,12,Q6-1))*(YEAR('Data Entry'!A2:A356)=IF(Q6=1,R6-1,R6))*('Data Entry'!F2:F356=$B132)*1),IF(C6="Quarterly",SUMPRODUCT(('Data Entry'!P2:P356=IF(I6="Q1","Q4",IF(I6="Q2","Q1",IF(I6="Q3","Q2","Q3"))))*('Data Entry'!F2:F356=$B132)*1),0)))</f>
        <v/>
      </c>
      <c r="F132" s="170">
        <f>IFERROR(IF(E132=0,IF(D132=0,"0%","NEW"),TEXT((D132-E132)/E132,"+0%;-0%")),"-")</f>
        <v/>
      </c>
      <c r="G132" s="170">
        <f>IF(D132&gt;E132,"↑ UP",IF(D132&lt;E132,"↓ DOWN",IF(D132=E132,"→ SAME","-")))</f>
        <v/>
      </c>
    </row>
    <row r="133" ht="20" customHeight="1" s="21">
      <c r="B133" s="173" t="inlineStr">
        <is>
          <t xml:space="preserve">11- A side </t>
        </is>
      </c>
      <c r="C133" s="175" t="n"/>
      <c r="D133" s="174">
        <f>IF(C6="Weekly",SUMPRODUCT((MONTH('Data Entry'!A2:A356)=Q6)*(YEAR('Data Entry'!A2:A356)=R6)*(INT((DAY('Data Entry'!A2:A356)-1)/7)+1=P6)*('Data Entry'!F2:F356=$B133)*1),IF(C6="Monthly",SUMPRODUCT((MONTH('Data Entry'!A2:A356)=Q6)*(YEAR('Data Entry'!A2:A356)=R6)*('Data Entry'!F2:F356=$B133)*1),IF(C6="Quarterly",SUMPRODUCT(('Data Entry'!P2:P356=I6)*('Data Entry'!F2:F356=$B133)*1),COUNTIF('Data Entry'!F2:F356,$B133))))</f>
        <v/>
      </c>
      <c r="E133" s="174">
        <f>IF(C6="Weekly",IF(P6&gt;1,SUMPRODUCT((MONTH('Data Entry'!A2:A356)=Q6)*(YEAR('Data Entry'!A2:A356)=R6)*(INT((DAY('Data Entry'!A2:A356)-1)/7)+1=(P6-1))*('Data Entry'!F2:F356=$B133)*1),SUMPRODUCT((MONTH('Data Entry'!A2:A356)=IF(Q6=1,12,Q6-1))*(YEAR('Data Entry'!A2:A356)=IF(Q6=1,R6-1,R6))*(INT((DAY('Data Entry'!A2:A356)-1)/7)+1=5)*('Data Entry'!F2:F356=$B133)*1)),IF(C6="Monthly",SUMPRODUCT((MONTH('Data Entry'!A2:A356)=IF(Q6=1,12,Q6-1))*(YEAR('Data Entry'!A2:A356)=IF(Q6=1,R6-1,R6))*('Data Entry'!F2:F356=$B133)*1),IF(C6="Quarterly",SUMPRODUCT(('Data Entry'!P2:P356=IF(I6="Q1","Q4",IF(I6="Q2","Q1",IF(I6="Q3","Q2","Q3"))))*('Data Entry'!F2:F356=$B133)*1),0)))</f>
        <v/>
      </c>
      <c r="F133" s="170">
        <f>IFERROR(IF(E133=0,IF(D133=0,"0%","NEW"),TEXT((D133-E133)/E133,"+0%;-0%")),"-")</f>
        <v/>
      </c>
      <c r="G133" s="170">
        <f>IF(D133&gt;E133,"↑ UP",IF(D133&lt;E133,"↓ DOWN",IF(D133=E133,"→ SAME","-")))</f>
        <v/>
      </c>
    </row>
    <row r="134" ht="20" customHeight="1" s="21">
      <c r="B134" s="173" t="inlineStr">
        <is>
          <t>Athletics track</t>
        </is>
      </c>
      <c r="C134" s="175" t="n"/>
      <c r="D134" s="174">
        <f>IF(C6="Weekly",SUMPRODUCT((MONTH('Data Entry'!A2:A356)=Q6)*(YEAR('Data Entry'!A2:A356)=R6)*(INT((DAY('Data Entry'!A2:A356)-1)/7)+1=P6)*('Data Entry'!F2:F356=$B134)*1),IF(C6="Monthly",SUMPRODUCT((MONTH('Data Entry'!A2:A356)=Q6)*(YEAR('Data Entry'!A2:A356)=R6)*('Data Entry'!F2:F356=$B134)*1),IF(C6="Quarterly",SUMPRODUCT(('Data Entry'!P2:P356=I6)*('Data Entry'!F2:F356=$B134)*1),COUNTIF('Data Entry'!F2:F356,$B134))))</f>
        <v/>
      </c>
      <c r="E134" s="174">
        <f>IF(C6="Weekly",IF(P6&gt;1,SUMPRODUCT((MONTH('Data Entry'!A2:A356)=Q6)*(YEAR('Data Entry'!A2:A356)=R6)*(INT((DAY('Data Entry'!A2:A356)-1)/7)+1=(P6-1))*('Data Entry'!F2:F356=$B134)*1),SUMPRODUCT((MONTH('Data Entry'!A2:A356)=IF(Q6=1,12,Q6-1))*(YEAR('Data Entry'!A2:A356)=IF(Q6=1,R6-1,R6))*(INT((DAY('Data Entry'!A2:A356)-1)/7)+1=5)*('Data Entry'!F2:F356=$B134)*1)),IF(C6="Monthly",SUMPRODUCT((MONTH('Data Entry'!A2:A356)=IF(Q6=1,12,Q6-1))*(YEAR('Data Entry'!A2:A356)=IF(Q6=1,R6-1,R6))*('Data Entry'!F2:F356=$B134)*1),IF(C6="Quarterly",SUMPRODUCT(('Data Entry'!P2:P356=IF(I6="Q1","Q4",IF(I6="Q2","Q1",IF(I6="Q3","Q2","Q3"))))*('Data Entry'!F2:F356=$B134)*1),0)))</f>
        <v/>
      </c>
      <c r="F134" s="170">
        <f>IFERROR(IF(E134=0,IF(D134=0,"0%","NEW"),TEXT((D134-E134)/E134,"+0%;-0%")),"-")</f>
        <v/>
      </c>
      <c r="G134" s="170">
        <f>IF(D134&gt;E134,"↑ UP",IF(D134&lt;E134,"↓ DOWN",IF(D134=E134,"→ SAME","-")))</f>
        <v/>
      </c>
    </row>
    <row r="135" ht="20" customHeight="1" s="21">
      <c r="B135" s="173" t="inlineStr">
        <is>
          <t>Change Rooms</t>
        </is>
      </c>
      <c r="C135" s="175" t="n"/>
      <c r="D135" s="174">
        <f>IF(C6="Weekly",SUMPRODUCT((MONTH('Data Entry'!A2:A356)=Q6)*(YEAR('Data Entry'!A2:A356)=R6)*(INT((DAY('Data Entry'!A2:A356)-1)/7)+1=P6)*('Data Entry'!F2:F356=$B135)*1),IF(C6="Monthly",SUMPRODUCT((MONTH('Data Entry'!A2:A356)=Q6)*(YEAR('Data Entry'!A2:A356)=R6)*('Data Entry'!F2:F356=$B135)*1),IF(C6="Quarterly",SUMPRODUCT(('Data Entry'!P2:P356=I6)*('Data Entry'!F2:F356=$B135)*1),COUNTIF('Data Entry'!F2:F356,$B135))))</f>
        <v/>
      </c>
      <c r="E135" s="174">
        <f>IF(C6="Weekly",IF(P6&gt;1,SUMPRODUCT((MONTH('Data Entry'!A2:A356)=Q6)*(YEAR('Data Entry'!A2:A356)=R6)*(INT((DAY('Data Entry'!A2:A356)-1)/7)+1=(P6-1))*('Data Entry'!F2:F356=$B135)*1),SUMPRODUCT((MONTH('Data Entry'!A2:A356)=IF(Q6=1,12,Q6-1))*(YEAR('Data Entry'!A2:A356)=IF(Q6=1,R6-1,R6))*(INT((DAY('Data Entry'!A2:A356)-1)/7)+1=5)*('Data Entry'!F2:F356=$B135)*1)),IF(C6="Monthly",SUMPRODUCT((MONTH('Data Entry'!A2:A356)=IF(Q6=1,12,Q6-1))*(YEAR('Data Entry'!A2:A356)=IF(Q6=1,R6-1,R6))*('Data Entry'!F2:F356=$B135)*1),IF(C6="Quarterly",SUMPRODUCT(('Data Entry'!P2:P356=IF(I6="Q1","Q4",IF(I6="Q2","Q1",IF(I6="Q3","Q2","Q3"))))*('Data Entry'!F2:F356=$B135)*1),0)))</f>
        <v/>
      </c>
      <c r="F135" s="170">
        <f>IFERROR(IF(E135=0,IF(D135=0,"0%","NEW"),TEXT((D135-E135)/E135,"+0%;-0%")),"-")</f>
        <v/>
      </c>
      <c r="G135" s="170">
        <f>IF(D135&gt;E135,"↑ UP",IF(D135&lt;E135,"↓ DOWN",IF(D135=E135,"→ SAME","-")))</f>
        <v/>
      </c>
    </row>
    <row r="136" ht="20" customHeight="1" s="21">
      <c r="B136" s="173" t="inlineStr">
        <is>
          <t>1KM RUN/WALK PATH</t>
        </is>
      </c>
      <c r="C136" s="175" t="n"/>
      <c r="D136" s="174">
        <f>IF(C6="Weekly",SUMPRODUCT((MONTH('Data Entry'!A2:A356)=Q6)*(YEAR('Data Entry'!A2:A356)=R6)*(INT((DAY('Data Entry'!A2:A356)-1)/7)+1=P6)*('Data Entry'!F2:F356=$B136)*1),IF(C6="Monthly",SUMPRODUCT((MONTH('Data Entry'!A2:A356)=Q6)*(YEAR('Data Entry'!A2:A356)=R6)*('Data Entry'!F2:F356=$B136)*1),IF(C6="Quarterly",SUMPRODUCT(('Data Entry'!P2:P356=I6)*('Data Entry'!F2:F356=$B136)*1),COUNTIF('Data Entry'!F2:F356,$B136))))</f>
        <v/>
      </c>
      <c r="E136" s="174">
        <f>IF(C6="Weekly",IF(P6&gt;1,SUMPRODUCT((MONTH('Data Entry'!A2:A356)=Q6)*(YEAR('Data Entry'!A2:A356)=R6)*(INT((DAY('Data Entry'!A2:A356)-1)/7)+1=(P6-1))*('Data Entry'!F2:F356=$B136)*1),SUMPRODUCT((MONTH('Data Entry'!A2:A356)=IF(Q6=1,12,Q6-1))*(YEAR('Data Entry'!A2:A356)=IF(Q6=1,R6-1,R6))*(INT((DAY('Data Entry'!A2:A356)-1)/7)+1=5)*('Data Entry'!F2:F356=$B136)*1)),IF(C6="Monthly",SUMPRODUCT((MONTH('Data Entry'!A2:A356)=IF(Q6=1,12,Q6-1))*(YEAR('Data Entry'!A2:A356)=IF(Q6=1,R6-1,R6))*('Data Entry'!F2:F356=$B136)*1),IF(C6="Quarterly",SUMPRODUCT(('Data Entry'!P2:P356=IF(I6="Q1","Q4",IF(I6="Q2","Q1",IF(I6="Q3","Q2","Q3"))))*('Data Entry'!F2:F356=$B136)*1),0)))</f>
        <v/>
      </c>
      <c r="F136" s="170">
        <f>IFERROR(IF(E136=0,IF(D136=0,"0%","NEW"),TEXT((D136-E136)/E136,"+0%;-0%")),"-")</f>
        <v/>
      </c>
      <c r="G136" s="170">
        <f>IF(D136&gt;E136,"↑ UP",IF(D136&lt;E136,"↓ DOWN",IF(D136=E136,"→ SAME","-")))</f>
        <v/>
      </c>
    </row>
    <row r="137" ht="15" customHeight="1" s="21"/>
    <row r="138">
      <c r="B138" s="139" t="inlineStr">
        <is>
          <t>Dashboard Pro | Nike Soweto Medical Incidents Reporting System | Trend analysis updates automatically</t>
        </is>
      </c>
    </row>
  </sheetData>
  <mergeCells count="43">
    <mergeCell ref="B2:G2"/>
    <mergeCell ref="B117:G117"/>
    <mergeCell ref="F11:G11"/>
    <mergeCell ref="D10:E10"/>
    <mergeCell ref="B9:N9"/>
    <mergeCell ref="F10:G10"/>
    <mergeCell ref="H10:I10"/>
    <mergeCell ref="J10:K10"/>
    <mergeCell ref="B121:C121"/>
    <mergeCell ref="B68:N68"/>
    <mergeCell ref="B122:C122"/>
    <mergeCell ref="C97:G97"/>
    <mergeCell ref="B5:N5"/>
    <mergeCell ref="B114:N114"/>
    <mergeCell ref="B11:C11"/>
    <mergeCell ref="B120:C120"/>
    <mergeCell ref="D11:E11"/>
    <mergeCell ref="I2:N3"/>
    <mergeCell ref="B32:N32"/>
    <mergeCell ref="B50:N50"/>
    <mergeCell ref="C94:G94"/>
    <mergeCell ref="C100:G100"/>
    <mergeCell ref="B138:N138"/>
    <mergeCell ref="B104:G104"/>
    <mergeCell ref="B119:C119"/>
    <mergeCell ref="H11:I11"/>
    <mergeCell ref="J11:K11"/>
    <mergeCell ref="L10:M10"/>
    <mergeCell ref="B10:C10"/>
    <mergeCell ref="B126:G126"/>
    <mergeCell ref="B86:N86"/>
    <mergeCell ref="H117:N117"/>
    <mergeCell ref="B127:C127"/>
    <mergeCell ref="B118:C118"/>
    <mergeCell ref="B3:G3"/>
    <mergeCell ref="B14:N14"/>
    <mergeCell ref="C91:G91"/>
    <mergeCell ref="I104:N104"/>
    <mergeCell ref="B124:C124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  <row r="25"/>
    <row r="26"/>
    <row r="27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7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  <row r="25"/>
    <row r="26"/>
    <row r="27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t="inlineStr">
        <is>
          <t>Skate Park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t="inlineStr">
        <is>
          <t xml:space="preserve">5 A side 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t="inlineStr">
        <is>
          <t>Basketball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t="inlineStr">
        <is>
          <t>Outdoor gym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t="inlineStr">
        <is>
          <t xml:space="preserve">JDI Studio 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t="inlineStr">
        <is>
          <t>Change Rooms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t="inlineStr">
        <is>
          <t>1KM RUN/WALK PATH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8">
      <c r="A18" s="30" t="inlineStr">
        <is>
          <t>MECHANISM DATA</t>
        </is>
      </c>
      <c r="D18" s="30" t="inlineStr">
        <is>
          <t>TIME DATA</t>
        </is>
      </c>
    </row>
    <row r="19">
      <c r="A19" s="30" t="inlineStr">
        <is>
          <t>Mechanism</t>
        </is>
      </c>
      <c r="B19" s="30" t="inlineStr">
        <is>
          <t>Count</t>
        </is>
      </c>
      <c r="D19" s="30" t="inlineStr">
        <is>
          <t>Time Period</t>
        </is>
      </c>
      <c r="E19" s="30" t="inlineStr">
        <is>
          <t>Count</t>
        </is>
      </c>
    </row>
    <row r="20">
      <c r="A20" t="inlineStr">
        <is>
          <t>Player-to-Player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D20" t="inlineStr">
        <is>
          <t>Morning</t>
        </is>
      </c>
      <c r="E20">
        <f>IF('Dashboard Pro'!C6="Weekly",SUMPRODUCT((MONTH('Data Entry'!A2:A356)='Dashboard Pro'!Q6)*(YEAR('Data Entry'!A2:A356)='Dashboard Pro'!R6)*(INT((DAY('Data Entry'!A2:A356)-1)/7)+1='Dashboard Pro'!P6)*('Data Entry'!M2:M356=D20)*1),IF('Dashboard Pro'!C6="Monthly",SUMPRODUCT((MONTH('Data Entry'!A2:A356)='Dashboard Pro'!Q6)*(YEAR('Data Entry'!A2:A356)='Dashboard Pro'!R6)*('Data Entry'!M2:M356=D20)*1),IF('Dashboard Pro'!C6="Quarterly",SUMPRODUCT(('Data Entry'!P2:P356='Dashboard Pro'!I6)*('Data Entry'!M2:M356=D20)*1),COUNTIF('Data Entry'!M2:M356,D20))))</f>
        <v/>
      </c>
    </row>
    <row r="21">
      <c r="A21" t="inlineStr">
        <is>
          <t>Slips, Trips and falls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D21" t="inlineStr">
        <is>
          <t>Afternoon</t>
        </is>
      </c>
      <c r="E21">
        <f>IF('Dashboard Pro'!C6="Weekly",SUMPRODUCT((MONTH('Data Entry'!A2:A356)='Dashboard Pro'!Q6)*(YEAR('Data Entry'!A2:A356)='Dashboard Pro'!R6)*(INT((DAY('Data Entry'!A2:A356)-1)/7)+1='Dashboard Pro'!P6)*('Data Entry'!M2:M356=D21)*1),IF('Dashboard Pro'!C6="Monthly",SUMPRODUCT((MONTH('Data Entry'!A2:A356)='Dashboard Pro'!Q6)*(YEAR('Data Entry'!A2:A356)='Dashboard Pro'!R6)*('Data Entry'!M2:M356=D21)*1),IF('Dashboard Pro'!C6="Quarterly",SUMPRODUCT(('Data Entry'!P2:P356='Dashboard Pro'!I6)*('Data Entry'!M2:M356=D21)*1),COUNTIF('Data Entry'!M2:M356,D21))))</f>
        <v/>
      </c>
    </row>
    <row r="22">
      <c r="A22" t="inlineStr">
        <is>
          <t>Muscle Strains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D22" t="inlineStr">
        <is>
          <t>Evening</t>
        </is>
      </c>
      <c r="E22">
        <f>IF('Dashboard Pro'!C6="Weekly",SUMPRODUCT((MONTH('Data Entry'!A2:A356)='Dashboard Pro'!Q6)*(YEAR('Data Entry'!A2:A356)='Dashboard Pro'!R6)*(INT((DAY('Data Entry'!A2:A356)-1)/7)+1='Dashboard Pro'!P6)*('Data Entry'!M2:M356=D22)*1),IF('Dashboard Pro'!C6="Monthly",SUMPRODUCT((MONTH('Data Entry'!A2:A356)='Dashboard Pro'!Q6)*(YEAR('Data Entry'!A2:A356)='Dashboard Pro'!R6)*('Data Entry'!M2:M356=D22)*1),IF('Dashboard Pro'!C6="Quarterly",SUMPRODUCT(('Data Entry'!P2:P356='Dashboard Pro'!I6)*('Data Entry'!M2:M356=D22)*1),COUNTIF('Data Entry'!M2:M356,D22))))</f>
        <v/>
      </c>
    </row>
    <row r="23">
      <c r="A23" t="inlineStr">
        <is>
          <t>Struck by Equipment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D23" t="inlineStr">
        <is>
          <t>Night</t>
        </is>
      </c>
      <c r="E23">
        <f>IF('Dashboard Pro'!C6="Weekly",SUMPRODUCT((MONTH('Data Entry'!A2:A356)='Dashboard Pro'!Q6)*(YEAR('Data Entry'!A2:A356)='Dashboard Pro'!R6)*(INT((DAY('Data Entry'!A2:A356)-1)/7)+1='Dashboard Pro'!P6)*('Data Entry'!M2:M356=D23)*1),IF('Dashboard Pro'!C6="Monthly",SUMPRODUCT((MONTH('Data Entry'!A2:A356)='Dashboard Pro'!Q6)*(YEAR('Data Entry'!A2:A356)='Dashboard Pro'!R6)*('Data Entry'!M2:M356=D23)*1),IF('Dashboard Pro'!C6="Quarterly",SUMPRODUCT(('Data Entry'!P2:P356='Dashboard Pro'!I6)*('Data Entry'!M2:M356=D23)*1),COUNTIF('Data Entry'!M2:M356,D23))))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t="inlineStr">
        <is>
          <t>Medical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</row>
    <row r="26">
      <c r="A26" t="inlineStr">
        <is>
          <t>Heat-Related</t>
        </is>
      </c>
      <c r="B26">
        <f>IF('Dashboard Pro'!C6="Weekly",SUMPRODUCT((MONTH('Data Entry'!A2:A356)='Dashboard Pro'!Q6)*(YEAR('Data Entry'!A2:A356)='Dashboard Pro'!R6)*(INT((DAY('Data Entry'!A2:A356)-1)/7)+1='Dashboard Pro'!P6)*('Data Entry'!D2:D356=A26)*1),IF('Dashboard Pro'!C6="Monthly",SUMPRODUCT((MONTH('Data Entry'!A2:A356)='Dashboard Pro'!Q6)*(YEAR('Data Entry'!A2:A356)='Dashboard Pro'!R6)*('Data Entry'!D2:D356=A26)*1),IF('Dashboard Pro'!C6="Quarterly",SUMPRODUCT(('Data Entry'!P2:P356='Dashboard Pro'!I6)*('Data Entry'!D2:D356=A26)*1),COUNTIF('Data Entry'!D2:D356,A26))))</f>
        <v/>
      </c>
    </row>
    <row r="30">
      <c r="G30" s="33" t="inlineStr">
        <is>
          <t>SEVERITY DATA</t>
        </is>
      </c>
      <c r="J30" s="33" t="inlineStr">
        <is>
          <t>PROGRAM DATA</t>
        </is>
      </c>
      <c r="M30" s="33" t="inlineStr">
        <is>
          <t>DAY OF WEEK DATA</t>
        </is>
      </c>
    </row>
    <row r="31">
      <c r="G31" s="62" t="inlineStr">
        <is>
          <t>Priority</t>
        </is>
      </c>
      <c r="H31" s="62" t="inlineStr">
        <is>
          <t>Count</t>
        </is>
      </c>
      <c r="J31" s="62" t="inlineStr">
        <is>
          <t>Program</t>
        </is>
      </c>
      <c r="K31" s="62" t="inlineStr">
        <is>
          <t>Count</t>
        </is>
      </c>
      <c r="M31" s="62" t="inlineStr">
        <is>
          <t>Day</t>
        </is>
      </c>
      <c r="N31" s="62" t="inlineStr">
        <is>
          <t>Count</t>
        </is>
      </c>
    </row>
    <row r="32">
      <c r="G32" s="63" t="inlineStr">
        <is>
          <t>P1</t>
        </is>
      </c>
      <c r="H32" s="63">
        <f>IF('Dashboard Pro'!C6="Weekly",SUMPRODUCT((MONTH('Data Entry'!A2:A356)='Dashboard Pro'!Q6)*(YEAR('Data Entry'!A2:A356)='Dashboard Pro'!R6)*(INT((DAY('Data Entry'!A2:A356)-1)/7)+1='Dashboard Pro'!P6)*('Data Entry'!I2:I356=G32)*1),IF('Dashboard Pro'!C6="Monthly",SUMPRODUCT((MONTH('Data Entry'!A2:A356)='Dashboard Pro'!Q6)*(YEAR('Data Entry'!A2:A356)='Dashboard Pro'!R6)*('Data Entry'!I2:I356=G32)*1),IF('Dashboard Pro'!C6="Quarterly",SUMPRODUCT(('Data Entry'!P2:P356='Dashboard Pro'!I6)*('Data Entry'!I2:I356=G32)*1),COUNTIF('Data Entry'!I2:I356,G32))))</f>
        <v/>
      </c>
      <c r="J32" s="63" t="inlineStr">
        <is>
          <t>Open Play</t>
        </is>
      </c>
      <c r="K32" s="63">
        <f>IF('Dashboard Pro'!C6="Weekly",SUMPRODUCT((MONTH('Data Entry'!A2:A356)='Dashboard Pro'!Q6)*(YEAR('Data Entry'!A2:A356)='Dashboard Pro'!R6)*(INT((DAY('Data Entry'!A2:A356)-1)/7)+1='Dashboard Pro'!P6)*(TRIM('Data Entry'!G2:G356)=J32)*1),IF('Dashboard Pro'!C6="Monthly",SUMPRODUCT((MONTH('Data Entry'!A2:A356)='Dashboard Pro'!Q6)*(YEAR('Data Entry'!A2:A356)='Dashboard Pro'!R6)*(TRIM('Data Entry'!G2:G356)=J32)*1),IF('Dashboard Pro'!C6="Quarterly",SUMPRODUCT(('Data Entry'!P2:P356='Dashboard Pro'!I6)*(TRIM('Data Entry'!G2:G356)=J32)*1),SUMPRODUCT((TRIM('Data Entry'!G2:G356)=J32)*1))))</f>
        <v/>
      </c>
      <c r="M32" s="63" t="inlineStr">
        <is>
          <t>Monday</t>
        </is>
      </c>
      <c r="N32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</row>
    <row r="33">
      <c r="G33" s="63" t="inlineStr">
        <is>
          <t>P2</t>
        </is>
      </c>
      <c r="H33" s="63">
        <f>IF('Dashboard Pro'!C6="Weekly",SUMPRODUCT((MONTH('Data Entry'!A2:A356)='Dashboard Pro'!Q6)*(YEAR('Data Entry'!A2:A356)='Dashboard Pro'!R6)*(INT((DAY('Data Entry'!A2:A356)-1)/7)+1='Dashboard Pro'!P6)*('Data Entry'!I2:I356=G33)*1),IF('Dashboard Pro'!C6="Monthly",SUMPRODUCT((MONTH('Data Entry'!A2:A356)='Dashboard Pro'!Q6)*(YEAR('Data Entry'!A2:A356)='Dashboard Pro'!R6)*('Data Entry'!I2:I356=G33)*1),IF('Dashboard Pro'!C6="Quarterly",SUMPRODUCT(('Data Entry'!P2:P356='Dashboard Pro'!I6)*('Data Entry'!I2:I356=G33)*1),COUNTIF('Data Entry'!I2:I356,G33))))</f>
        <v/>
      </c>
      <c r="J33" s="63" t="inlineStr">
        <is>
          <t>Training</t>
        </is>
      </c>
      <c r="K33" s="63">
        <f>IF('Dashboard Pro'!C6="Weekly",SUMPRODUCT((MONTH('Data Entry'!A2:A356)='Dashboard Pro'!Q6)*(YEAR('Data Entry'!A2:A356)='Dashboard Pro'!R6)*(INT((DAY('Data Entry'!A2:A356)-1)/7)+1='Dashboard Pro'!P6)*(TRIM('Data Entry'!G2:G356)=J33)*1),IF('Dashboard Pro'!C6="Monthly",SUMPRODUCT((MONTH('Data Entry'!A2:A356)='Dashboard Pro'!Q6)*(YEAR('Data Entry'!A2:A356)='Dashboard Pro'!R6)*(TRIM('Data Entry'!G2:G356)=J33)*1),IF('Dashboard Pro'!C6="Quarterly",SUMPRODUCT(('Data Entry'!P2:P356='Dashboard Pro'!I6)*(TRIM('Data Entry'!G2:G356)=J33)*1),SUMPRODUCT((TRIM('Data Entry'!G2:G356)=J33)*1))))</f>
        <v/>
      </c>
      <c r="M33" s="63" t="inlineStr">
        <is>
          <t>Tuesday</t>
        </is>
      </c>
      <c r="N33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</row>
    <row r="34">
      <c r="G34" s="63" t="inlineStr">
        <is>
          <t>P3</t>
        </is>
      </c>
      <c r="H34" s="63">
        <f>IF('Dashboard Pro'!C6="Weekly",SUMPRODUCT((MONTH('Data Entry'!A2:A356)='Dashboard Pro'!Q6)*(YEAR('Data Entry'!A2:A356)='Dashboard Pro'!R6)*(INT((DAY('Data Entry'!A2:A356)-1)/7)+1='Dashboard Pro'!P6)*('Data Entry'!I2:I356=G34)*1),IF('Dashboard Pro'!C6="Monthly",SUMPRODUCT((MONTH('Data Entry'!A2:A356)='Dashboard Pro'!Q6)*(YEAR('Data Entry'!A2:A356)='Dashboard Pro'!R6)*('Data Entry'!I2:I356=G34)*1),IF('Dashboard Pro'!C6="Quarterly",SUMPRODUCT(('Data Entry'!P2:P356='Dashboard Pro'!I6)*('Data Entry'!I2:I356=G34)*1),COUNTIF('Data Entry'!I2:I356,G34))))</f>
        <v/>
      </c>
      <c r="J34" s="63" t="inlineStr">
        <is>
          <t>Afternoon Program</t>
        </is>
      </c>
      <c r="K34" s="63">
        <f>IF('Dashboard Pro'!C6="Weekly",SUMPRODUCT((MONTH('Data Entry'!A2:A356)='Dashboard Pro'!Q6)*(YEAR('Data Entry'!A2:A356)='Dashboard Pro'!R6)*(INT((DAY('Data Entry'!A2:A356)-1)/7)+1='Dashboard Pro'!P6)*(TRIM('Data Entry'!G2:G356)=J34)*1),IF('Dashboard Pro'!C6="Monthly",SUMPRODUCT((MONTH('Data Entry'!A2:A356)='Dashboard Pro'!Q6)*(YEAR('Data Entry'!A2:A356)='Dashboard Pro'!R6)*(TRIM('Data Entry'!G2:G356)=J34)*1),IF('Dashboard Pro'!C6="Quarterly",SUMPRODUCT(('Data Entry'!P2:P356='Dashboard Pro'!I6)*(TRIM('Data Entry'!G2:G356)=J34)*1),SUMPRODUCT((TRIM('Data Entry'!G2:G356)=J34)*1))))</f>
        <v/>
      </c>
      <c r="M34" s="63" t="inlineStr">
        <is>
          <t>Wednesday</t>
        </is>
      </c>
      <c r="N34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35">
      <c r="G35" s="63" t="inlineStr">
        <is>
          <t>P4</t>
        </is>
      </c>
      <c r="H35" s="63">
        <f>IF('Dashboard Pro'!C6="Weekly",SUMPRODUCT((MONTH('Data Entry'!A2:A356)='Dashboard Pro'!Q6)*(YEAR('Data Entry'!A2:A356)='Dashboard Pro'!R6)*(INT((DAY('Data Entry'!A2:A356)-1)/7)+1='Dashboard Pro'!P6)*('Data Entry'!I2:I356=G35)*1),IF('Dashboard Pro'!C6="Monthly",SUMPRODUCT((MONTH('Data Entry'!A2:A356)='Dashboard Pro'!Q6)*(YEAR('Data Entry'!A2:A356)='Dashboard Pro'!R6)*('Data Entry'!I2:I356=G35)*1),IF('Dashboard Pro'!C6="Quarterly",SUMPRODUCT(('Data Entry'!P2:P356='Dashboard Pro'!I6)*('Data Entry'!I2:I356=G35)*1),COUNTIF('Data Entry'!I2:I356,G35))))</f>
        <v/>
      </c>
      <c r="J35" s="63" t="inlineStr">
        <is>
          <t>Girl Skate</t>
        </is>
      </c>
      <c r="K35" s="63">
        <f>IF('Dashboard Pro'!C6="Weekly",SUMPRODUCT((MONTH('Data Entry'!A2:A356)='Dashboard Pro'!Q6)*(YEAR('Data Entry'!A2:A356)='Dashboard Pro'!R6)*(INT((DAY('Data Entry'!A2:A356)-1)/7)+1='Dashboard Pro'!P6)*(TRIM('Data Entry'!G2:G356)=J35)*1),IF('Dashboard Pro'!C6="Monthly",SUMPRODUCT((MONTH('Data Entry'!A2:A356)='Dashboard Pro'!Q6)*(YEAR('Data Entry'!A2:A356)='Dashboard Pro'!R6)*(TRIM('Data Entry'!G2:G356)=J35)*1),IF('Dashboard Pro'!C6="Quarterly",SUMPRODUCT(('Data Entry'!P2:P356='Dashboard Pro'!I6)*(TRIM('Data Entry'!G2:G356)=J35)*1),SUMPRODUCT((TRIM('Data Entry'!G2:G356)=J35)*1))))</f>
        <v/>
      </c>
      <c r="M35" s="63" t="inlineStr">
        <is>
          <t>Thursday</t>
        </is>
      </c>
      <c r="N35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36">
      <c r="J36" s="63" t="inlineStr">
        <is>
          <t>NONE SPORTS CENTER</t>
        </is>
      </c>
      <c r="K36" s="63">
        <f>IF('Dashboard Pro'!C6="Weekly",SUMPRODUCT((MONTH('Data Entry'!A2:A356)='Dashboard Pro'!Q6)*(YEAR('Data Entry'!A2:A356)='Dashboard Pro'!R6)*(INT((DAY('Data Entry'!A2:A356)-1)/7)+1='Dashboard Pro'!P6)*(TRIM('Data Entry'!G2:G356)=J36)*1),IF('Dashboard Pro'!C6="Monthly",SUMPRODUCT((MONTH('Data Entry'!A2:A356)='Dashboard Pro'!Q6)*(YEAR('Data Entry'!A2:A356)='Dashboard Pro'!R6)*(TRIM('Data Entry'!G2:G356)=J36)*1),IF('Dashboard Pro'!C6="Quarterly",SUMPRODUCT(('Data Entry'!P2:P356='Dashboard Pro'!I6)*(TRIM('Data Entry'!G2:G356)=J36)*1),SUMPRODUCT((TRIM('Data Entry'!G2:G356)=J36)*1))))</f>
        <v/>
      </c>
      <c r="M36" s="63" t="inlineStr">
        <is>
          <t>Friday</t>
        </is>
      </c>
      <c r="N36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37">
      <c r="M37" s="63" t="inlineStr">
        <is>
          <t>Saturday</t>
        </is>
      </c>
      <c r="N37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38">
      <c r="M38" s="63" t="inlineStr">
        <is>
          <t>Sunday</t>
        </is>
      </c>
      <c r="N38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42">
      <c r="P42" s="33" t="inlineStr">
        <is>
          <t>HOSPITAL TRANSPORT</t>
        </is>
      </c>
    </row>
    <row r="43">
      <c r="P43" s="62" t="inlineStr">
        <is>
          <t>Status</t>
        </is>
      </c>
      <c r="Q43" s="62" t="inlineStr">
        <is>
          <t>Count</t>
        </is>
      </c>
    </row>
    <row r="44">
      <c r="P44" s="63" t="inlineStr">
        <is>
          <t>YES</t>
        </is>
      </c>
      <c r="Q44" s="63">
        <f>IF('Dashboard Pro'!C6="Weekly",SUMPRODUCT((MONTH('Data Entry'!A2:A356)='Dashboard Pro'!Q6)*(YEAR('Data Entry'!A2:A356)='Dashboard Pro'!R6)*(INT((DAY('Data Entry'!A2:A356)-1)/7)+1='Dashboard Pro'!P6)*('Data Entry'!J2:J356=P44)*1),IF('Dashboard Pro'!C6="Monthly",SUMPRODUCT((MONTH('Data Entry'!A2:A356)='Dashboard Pro'!Q6)*(YEAR('Data Entry'!A2:A356)='Dashboard Pro'!R6)*('Data Entry'!J2:J356=P44)*1),IF('Dashboard Pro'!C6="Quarterly",SUMPRODUCT(('Data Entry'!P2:P356='Dashboard Pro'!I6)*('Data Entry'!J2:J356=P44)*1),COUNTIF('Data Entry'!J2:J356,P44))))</f>
        <v/>
      </c>
    </row>
    <row r="45">
      <c r="P45" s="63" t="inlineStr">
        <is>
          <t>NO</t>
        </is>
      </c>
      <c r="Q45" s="63">
        <f>IF('Dashboard Pro'!C6="Weekly",SUMPRODUCT((MONTH('Data Entry'!A2:A356)='Dashboard Pro'!Q6)*(YEAR('Data Entry'!A2:A356)='Dashboard Pro'!R6)*(INT((DAY('Data Entry'!A2:A356)-1)/7)+1='Dashboard Pro'!P6)*('Data Entry'!J2:J356=P45)*1),IF('Dashboard Pro'!C6="Monthly",SUMPRODUCT((MONTH('Data Entry'!A2:A356)='Dashboard Pro'!Q6)*(YEAR('Data Entry'!A2:A356)='Dashboard Pro'!R6)*('Data Entry'!J2:J356=P45)*1),IF('Dashboard Pro'!C6="Quarterly",SUMPRODUCT(('Data Entry'!P2:P356='Dashboard Pro'!I6)*('Data Entry'!J2:J356=P45)*1),COUNTIF('Data Entry'!J2:J356,P45))))</f>
        <v/>
      </c>
    </row>
  </sheetData>
  <mergeCells count="4">
    <mergeCell ref="G30:H30"/>
    <mergeCell ref="M30:N30"/>
    <mergeCell ref="J30:K30"/>
    <mergeCell ref="P42:Q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2025-12-04T16:51:28Z</dcterms:modified>
  <cp:lastModifiedBy>stephen tapala</cp:lastModifiedBy>
</cp:coreProperties>
</file>