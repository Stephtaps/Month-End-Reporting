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ta Entry" sheetId="1" state="visible" r:id="rId1"/>
    <sheet name="Dashboard" sheetId="2" state="visible" r:id="rId2"/>
    <sheet name="Monthly Stats" sheetId="3" state="visible" r:id="rId3"/>
    <sheet name="Venue Analysis" sheetId="4" state="visible" r:id="rId4"/>
    <sheet name="Age Analysis" sheetId="5" state="visible" r:id="rId5"/>
    <sheet name="Injury Analysis" sheetId="6" state="visible" r:id="rId6"/>
    <sheet name="Mechanism Analysis" sheetId="7" state="visible" r:id="rId7"/>
    <sheet name="Program Analysis" sheetId="8" state="visible" r:id="rId8"/>
    <sheet name="Time Analysis" sheetId="9" state="visible" r:id="rId9"/>
    <sheet name="Lists" sheetId="10" state="visible" r:id="rId10"/>
    <sheet name="Severity Analysis" sheetId="11" state="visible" r:id="rId11"/>
    <sheet name="Chart Data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</fonts>
  <fills count="13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Incidents by Venue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'Venue Analysis'!$B$3</f>
              <strCache>
                <ptCount val="1"/>
                <pt idx="0">
                  <v>Count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  <a:sp3d contourW="9525">
              <contourClr rgb="000000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'Venue Analysis'!$A$4:$A$19</f>
              <strCache>
                <ptCount val="16"/>
                <pt idx="0">
                  <v>Skate Park</v>
                </pt>
                <pt idx="1">
                  <v xml:space="preserve">5 A side </v>
                </pt>
                <pt idx="2">
                  <v>Basketball</v>
                </pt>
                <pt idx="3">
                  <v>Outdoor gym</v>
                </pt>
                <pt idx="4">
                  <v xml:space="preserve">JDI Studio </v>
                </pt>
                <pt idx="5">
                  <v>PHINDA Studio</v>
                </pt>
                <pt idx="6">
                  <v>PHAMBILI Studio</v>
                </pt>
                <pt idx="7">
                  <v xml:space="preserve">11- A side </v>
                </pt>
                <pt idx="8">
                  <v>Athletics track</v>
                </pt>
                <pt idx="9">
                  <v>Registration area</v>
                </pt>
                <pt idx="10">
                  <v xml:space="preserve">Car parking </v>
                </pt>
                <pt idx="11">
                  <v>Change Rooms</v>
                </pt>
                <pt idx="12">
                  <v>Equipment Rooms</v>
                </pt>
                <pt idx="13">
                  <v>1KM RUN/WALK PATH</v>
                </pt>
                <pt idx="14">
                  <v>Bleachers</v>
                </pt>
                <pt idx="15">
                  <v>P GATE</v>
                </pt>
              </strCache>
            </strRef>
          </cat>
          <val>
            <numRef>
              <f>'Venue Analysis'!$B$4:$B$19</f>
              <numCache>
                <formatCode>General</formatCode>
                <ptCount val="16"/>
                <pt idx="0">
                  <v>2</v>
                </pt>
                <pt idx="1">
                  <v>5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15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1</v>
                </pt>
                <pt idx="12">
                  <v>0</v>
                </pt>
                <pt idx="13">
                  <v>1</v>
                </pt>
                <pt idx="14">
                  <v>0</v>
                </pt>
                <pt idx="15">
                  <v>0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Venue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Incidents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Age Distribution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3DChart>
        <varyColors val="1"/>
        <ser>
          <idx val="0"/>
          <order val="0"/>
          <tx>
            <strRef>
              <f>'Age Analysis'!$B$3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'Age Analysis'!$A$4:$A$8</f>
              <strCache>
                <ptCount val="5"/>
                <pt idx="0">
                  <v>0-12 years</v>
                </pt>
                <pt idx="1">
                  <v>13-17 years</v>
                </pt>
                <pt idx="2">
                  <v>18-25 years</v>
                </pt>
                <pt idx="3">
                  <v>26-35 years</v>
                </pt>
                <pt idx="4">
                  <v>36+ years</v>
                </pt>
              </strCache>
            </strRef>
          </cat>
          <val>
            <numRef>
              <f>'Age Analysis'!$B$4:$B$8</f>
              <numCache>
                <formatCode>General</formatCode>
                <ptCount val="5"/>
                <pt idx="0">
                  <v>4</v>
                </pt>
                <pt idx="1">
                  <v>11</v>
                </pt>
                <pt idx="2">
                  <v>11</v>
                </pt>
                <pt idx="3">
                  <v>0</v>
                </pt>
                <pt idx="4">
                  <v>1</v>
                </pt>
              </numCache>
            </numRef>
          </val>
        </ser>
        <dLbls>
          <dLblPos val="outEnd"/>
          <showLegendKey val="0"/>
          <showVal val="0"/>
          <showCatName val="0"/>
          <showSerName val="0"/>
          <showPercent val="1"/>
          <showBubbleSize val="0"/>
          <showLeaderLines val="0"/>
        </dLbls>
      </pie3DChart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Most Common Injuries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'Injury Analysis'!$A$4</f>
              <strCache>
                <ptCount val="1"/>
                <pt idx="0">
                  <v xml:space="preserve">Head Injury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"/>
          <order val="1"/>
          <tx>
            <strRef>
              <f>'Injury Analysis'!$A$5</f>
              <strCache>
                <ptCount val="1"/>
                <pt idx="0">
                  <v xml:space="preserve">Neck Injury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2"/>
          <order val="2"/>
          <tx>
            <strRef>
              <f>'Injury Analysis'!$A$6</f>
              <strCache>
                <ptCount val="1"/>
                <pt idx="0">
                  <v xml:space="preserve">Facial Injury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Analysis'!$B$6</f>
              <numCache>
                <formatCode>General</formatCode>
                <ptCount val="1"/>
                <pt idx="0">
                  <v>3</v>
                </pt>
              </numCache>
            </numRef>
          </val>
        </ser>
        <ser>
          <idx val="3"/>
          <order val="3"/>
          <tx>
            <strRef>
              <f>'Injury Analysis'!$A$7</f>
              <strCache>
                <ptCount val="1"/>
                <pt idx="0">
                  <v xml:space="preserve">spinal injury 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4"/>
          <order val="4"/>
          <tx>
            <strRef>
              <f>'Injury Analysis'!$A$8</f>
              <strCache>
                <ptCount val="1"/>
                <pt idx="0">
                  <v xml:space="preserve">Shoulder 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Analysis'!$B$8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tx>
            <strRef>
              <f>'Injury Analysis'!$A$9</f>
              <strCache>
                <ptCount val="1"/>
                <pt idx="0">
                  <v xml:space="preserve">Elbow 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Analysis'!$B$9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tx>
            <strRef>
              <f>'Injury Analysis'!$A$10</f>
              <strCache>
                <ptCount val="1"/>
                <pt idx="0">
                  <v xml:space="preserve">Wrist </v>
                </pt>
              </strCache>
            </strRef>
          </tx>
          <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7"/>
          <order val="7"/>
          <tx>
            <strRef>
              <f>'Injury Analysis'!$A$11</f>
              <strCache>
                <ptCount val="1"/>
                <pt idx="0">
                  <v xml:space="preserve">Hand </v>
                </pt>
              </strCache>
            </strRef>
          </tx>
          <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8"/>
          <order val="8"/>
          <tx>
            <strRef>
              <f>'Injury Analysis'!$A$12</f>
              <strCache>
                <ptCount val="1"/>
                <pt idx="0">
                  <v xml:space="preserve">Arm </v>
                </pt>
              </strCache>
            </strRef>
          </tx>
          <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Analysis'!$B$12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9"/>
          <order val="9"/>
          <tx>
            <strRef>
              <f>'Injury Analysis'!$A$13</f>
              <strCache>
                <ptCount val="1"/>
                <pt idx="0">
                  <v xml:space="preserve">Upper limb Muscle </v>
                </pt>
              </strCache>
            </strRef>
          </tx>
          <spPr>
            <a:solidFill>
              <a:schemeClr val="accent4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0"/>
          <order val="10"/>
          <tx>
            <strRef>
              <f>'Injury Analysis'!$A$14</f>
              <strCache>
                <ptCount val="1"/>
                <pt idx="0">
                  <v xml:space="preserve">Chest </v>
                </pt>
              </strCache>
            </strRef>
          </tx>
          <spPr>
            <a:solidFill>
              <a:schemeClr val="accent5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1"/>
          <order val="11"/>
          <tx>
            <strRef>
              <f>'Injury Analysis'!$A$15</f>
              <strCache>
                <ptCount val="1"/>
                <pt idx="0">
                  <v xml:space="preserve">Abdominal </v>
                </pt>
              </strCache>
            </strRef>
          </tx>
          <spPr>
            <a:solidFill>
              <a:schemeClr val="accent6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2"/>
          <order val="12"/>
          <tx>
            <strRef>
              <f>'Injury Analysis'!$A$16</f>
              <strCache>
                <ptCount val="1"/>
                <pt idx="0">
                  <v xml:space="preserve">Back </v>
                </pt>
              </strCache>
            </strRef>
          </tx>
          <spPr>
            <a:solidFill>
              <a:schemeClr val="accent1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Analysis'!$B$16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3"/>
          <order val="13"/>
          <tx>
            <strRef>
              <f>'Injury Analysis'!$A$17</f>
              <strCache>
                <ptCount val="1"/>
                <pt idx="0">
                  <v xml:space="preserve">Hip </v>
                </pt>
              </strCache>
            </strRef>
          </tx>
          <spPr>
            <a:solidFill>
              <a:schemeClr val="accent2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4"/>
          <order val="14"/>
          <tx>
            <strRef>
              <f>'Injury Analysis'!$A$18</f>
              <strCache>
                <ptCount val="1"/>
                <pt idx="0">
                  <v xml:space="preserve">Knee </v>
                </pt>
              </strCache>
            </strRef>
          </tx>
          <spPr>
            <a:solidFill>
              <a:schemeClr val="accent3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Analysis'!$B$18</f>
              <numCache>
                <formatCode>General</formatCode>
                <ptCount val="1"/>
                <pt idx="0">
                  <v>5</v>
                </pt>
              </numCache>
            </numRef>
          </val>
        </ser>
        <ser>
          <idx val="15"/>
          <order val="15"/>
          <tx>
            <strRef>
              <f>'Injury Analysis'!$A$19</f>
              <strCache>
                <ptCount val="1"/>
                <pt idx="0">
                  <v xml:space="preserve">Ankle </v>
                </pt>
              </strCache>
            </strRef>
          </tx>
          <spPr>
            <a:solidFill>
              <a:schemeClr val="accent4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Analysis'!$B$19</f>
              <numCache>
                <formatCode>General</formatCode>
                <ptCount val="1"/>
                <pt idx="0">
                  <v>4</v>
                </pt>
              </numCache>
            </numRef>
          </val>
        </ser>
        <ser>
          <idx val="16"/>
          <order val="16"/>
          <tx>
            <strRef>
              <f>'Injury Analysis'!$A$20</f>
              <strCache>
                <ptCount val="1"/>
                <pt idx="0">
                  <v xml:space="preserve">Foot </v>
                </pt>
              </strCache>
            </strRef>
          </tx>
          <spPr>
            <a:solidFill>
              <a:schemeClr val="accent5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7"/>
          <order val="17"/>
          <tx>
            <strRef>
              <f>'Injury Analysis'!$A$21</f>
              <strCache>
                <ptCount val="1"/>
                <pt idx="0">
                  <v xml:space="preserve">Lower limb </v>
                </pt>
              </strCache>
            </strRef>
          </tx>
          <spPr>
            <a:solidFill>
              <a:schemeClr val="accent6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8"/>
          <order val="18"/>
          <tx>
            <strRef>
              <f>'Injury Analysis'!$A$22</f>
              <strCache>
                <ptCount val="1"/>
                <pt idx="0">
                  <v xml:space="preserve">General </v>
                </pt>
              </strCache>
            </strRef>
          </tx>
          <spPr>
            <a:solidFill>
              <a:schemeClr val="accent1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Analysis'!$B$22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9"/>
          <order val="19"/>
          <tx>
            <strRef>
              <f>'Injury Analysis'!$A$23</f>
              <strCache>
                <ptCount val="1"/>
                <pt idx="0">
                  <v xml:space="preserve">Medical </v>
                </pt>
              </strCache>
            </strRef>
          </tx>
          <spPr>
            <a:solidFill>
              <a:schemeClr val="accent2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Injury Mechanisms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'Mechanism Analysis'!$B$3</f>
              <strCache>
                <ptCount val="1"/>
                <pt idx="0">
                  <v>Count</v>
                </pt>
              </strCache>
            </strRef>
          </tx>
          <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'Mechanism Analysis'!$A$4:$A$24</f>
              <strCache>
                <ptCount val="21"/>
                <pt idx="0">
                  <v>Player-to-Player</v>
                </pt>
                <pt idx="1">
                  <v>Player-to-Object</v>
                </pt>
                <pt idx="2">
                  <v>Struck by Equipment</v>
                </pt>
                <pt idx="3">
                  <v>Slips, Trips and falls</v>
                </pt>
                <pt idx="4">
                  <v>Falls from Height</v>
                </pt>
                <pt idx="5">
                  <v>Muscle Strains</v>
                </pt>
                <pt idx="6">
                  <v>Heat-Related</v>
                </pt>
                <pt idx="7">
                  <v>Stress Fractures</v>
                </pt>
                <pt idx="8">
                  <v>Tendonitis</v>
                </pt>
                <pt idx="9">
                  <v>Incorrect Use</v>
                </pt>
                <pt idx="10">
                  <v>Malfunction</v>
                </pt>
                <pt idx="11">
                  <v>Poor Lighting</v>
                </pt>
                <pt idx="12">
                  <v>Inadequate Signage</v>
                </pt>
                <pt idx="13">
                  <v>Cleaning Agents</v>
                </pt>
                <pt idx="14">
                  <v>Infections</v>
                </pt>
                <pt idx="15">
                  <v>Allergies</v>
                </pt>
                <pt idx="16">
                  <v>Harassment or Bullying</v>
                </pt>
                <pt idx="17">
                  <v>Performance Pressure</v>
                </pt>
                <pt idx="18">
                  <v>Assault</v>
                </pt>
                <pt idx="19">
                  <v>Theft</v>
                </pt>
                <pt idx="20">
                  <v>Medical</v>
                </pt>
              </strCache>
            </strRef>
          </cat>
          <val>
            <numRef>
              <f>'Mechanism Analysis'!$B$4:$B$24</f>
              <numCache>
                <formatCode>General</formatCode>
                <ptCount val="21"/>
                <pt idx="0">
                  <v>12</v>
                </pt>
                <pt idx="1">
                  <v>2</v>
                </pt>
                <pt idx="2">
                  <v>2</v>
                </pt>
                <pt idx="3">
                  <v>6</v>
                </pt>
                <pt idx="4">
                  <v>0</v>
                </pt>
                <pt idx="5">
                  <v>4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ZA"/>
              <a:t>Incidents by Time of Day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'Time Analysis'!$C$3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invertIfNegative val="0"/>
          <cat>
            <multiLvlStrRef>
              <multiLvlStrCache>
                <lvl>
                  <pt idx="0">
                    <v>6:00 - 11:59</v>
                  </pt>
                  <pt idx="1">
                    <v>12:00 - 17:59</v>
                  </pt>
                  <pt idx="2">
                    <v>18:00 - 21:59</v>
                  </pt>
                  <pt idx="3">
                    <v>22:00 - 5:59</v>
                  </pt>
                </lvl>
                <lvl>
                  <pt idx="0">
                    <v>Morning</v>
                  </pt>
                  <pt idx="1">
                    <v>Afternoon</v>
                  </pt>
                  <pt idx="2">
                    <v>Evening</v>
                  </pt>
                  <pt idx="3">
                    <v>Night</v>
                  </pt>
                </lvl>
              </multiLvlStrCache>
              <f>'Time Analysis'!$A$4:$B$7</f>
            </multiLvlStrRef>
          </cat>
          <val>
            <numRef>
              <f>'Time Analysis'!$C$4:$C$7</f>
              <numCache>
                <formatCode>General</formatCode>
                <ptCount val="4"/>
                <pt idx="0">
                  <v>4</v>
                </pt>
                <pt idx="1">
                  <v>12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Monthly Incident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'Monthly Stats'!$B$3</f>
              <strCache>
                <ptCount val="1"/>
                <pt idx="0">
                  <v>Total Cases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'Monthly Stats'!$A$4:$A$27</f>
              <strCache>
                <ptCount val="24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  <pt idx="12">
                  <v>Jan-25</v>
                </pt>
                <pt idx="13">
                  <v>Feb-25</v>
                </pt>
                <pt idx="14">
                  <v>Mar-25</v>
                </pt>
                <pt idx="15">
                  <v>Apr-25</v>
                </pt>
                <pt idx="16">
                  <v>May-25</v>
                </pt>
                <pt idx="17">
                  <v>Jun-25</v>
                </pt>
                <pt idx="18">
                  <v>Jul-25</v>
                </pt>
                <pt idx="19">
                  <v>Aug-25</v>
                </pt>
                <pt idx="20">
                  <v>Sep-25</v>
                </pt>
                <pt idx="21">
                  <v>Oct-25</v>
                </pt>
                <pt idx="22">
                  <v>Nov-25</v>
                </pt>
                <pt idx="23">
                  <v>Dec-25</v>
                </pt>
              </strCache>
            </strRef>
          </cat>
          <val>
            <numRef>
              <f>'Monthly Stats'!$B$4:$B$27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16</v>
                </pt>
                <pt idx="21">
                  <v>11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28575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43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18" customWidth="1" style="21" min="1" max="19"/>
    <col width="12" customWidth="1" style="21" min="2" max="2"/>
    <col width="12" customWidth="1" style="21" min="3" max="3"/>
    <col width="10" customWidth="1" style="21" min="4" max="4"/>
    <col width="14" customWidth="1" style="21" min="5" max="5"/>
    <col width="14" customWidth="1" style="21" min="6" max="6"/>
    <col width="16" customWidth="1" style="21" min="7" max="7"/>
  </cols>
  <sheetData>
    <row r="1" ht="36.75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>
      <c r="A2" s="45" t="n"/>
      <c r="B2" s="46">
        <f>E4</f>
        <v/>
      </c>
      <c r="C2" s="45" t="n"/>
      <c r="D2" s="45" t="n"/>
      <c r="E2" s="45" t="n"/>
      <c r="F2" s="45" t="n"/>
      <c r="G2" s="45" t="n"/>
      <c r="H2" s="45" t="n"/>
      <c r="I2" s="45" t="n"/>
      <c r="J2" s="45" t="n"/>
      <c r="K2" s="45" t="n"/>
      <c r="L2" s="45" t="n"/>
      <c r="M2" s="45" t="n"/>
      <c r="N2" s="45" t="n"/>
    </row>
    <row r="3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15.75" customHeight="1" s="21">
      <c r="A4" s="48" t="inlineStr">
        <is>
          <t>1. Report Type:</t>
        </is>
      </c>
      <c r="B4" s="49" t="inlineStr">
        <is>
          <t>Monthly</t>
        </is>
      </c>
      <c r="C4" s="45" t="n"/>
      <c r="D4" s="50" t="inlineStr">
        <is>
          <t>2. Select Month:</t>
        </is>
      </c>
      <c r="E4" s="57" t="inlineStr">
        <is>
          <t>Oct-25</t>
        </is>
      </c>
      <c r="F4" s="52" t="n"/>
      <c r="G4" s="50" t="inlineStr">
        <is>
          <t>3. Select Week:</t>
        </is>
      </c>
      <c r="H4" s="57" t="inlineStr">
        <is>
          <t>Week 1</t>
        </is>
      </c>
      <c r="I4" s="45" t="n"/>
      <c r="J4" s="50" t="inlineStr">
        <is>
          <t>4. Select Quarter:</t>
        </is>
      </c>
      <c r="K4" s="58" t="inlineStr">
        <is>
          <t>Q4</t>
        </is>
      </c>
      <c r="L4" s="45" t="n"/>
      <c r="M4" s="60">
        <f>VALUE(SUBSTITUTE(H4,"Week ",""))</f>
        <v/>
      </c>
      <c r="N4" s="60">
        <f>MATCH(LEFT(E4,3),{"Jan","Feb","Mar","Apr","May","Jun","Jul","Aug","Sep","Oct","Nov","Dec"},0)</f>
        <v/>
      </c>
      <c r="O4" s="61">
        <f>2000+VALUE(RIGHT(E4,2))</f>
        <v/>
      </c>
      <c r="P4" s="29" t="inlineStr">
        <is>
          <t>TOP RISK SITE</t>
        </is>
      </c>
    </row>
    <row r="5">
      <c r="A5" s="59" t="inlineStr">
        <is>
          <t>→ Monthly: Select Report Type + Month</t>
        </is>
      </c>
      <c r="B5" s="45" t="n"/>
      <c r="C5" s="45" t="n"/>
      <c r="D5" s="45" t="n"/>
      <c r="E5" s="59" t="inlineStr">
        <is>
          <t>→ Weekly: Select Month + Week</t>
        </is>
      </c>
      <c r="F5" s="45" t="n"/>
      <c r="G5" s="45" t="n"/>
      <c r="H5" s="45" t="n"/>
      <c r="I5" s="59" t="inlineStr">
        <is>
          <t>→ Quarterly: Select Quarter</t>
        </is>
      </c>
      <c r="J5" s="45" t="n"/>
      <c r="K5" s="45" t="n"/>
      <c r="L5" s="45" t="n"/>
      <c r="M5" s="45" t="n"/>
      <c r="N5" s="45" t="n"/>
      <c r="P5" s="5" t="n"/>
      <c r="Q5" s="5" t="n"/>
      <c r="R5" s="5" t="n"/>
      <c r="S5" s="5" t="n"/>
    </row>
    <row r="6" ht="46.5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18.75" customHeight="1" s="21">
      <c r="A7" s="54" t="inlineStr">
        <is>
          <t>Period:</t>
        </is>
      </c>
      <c r="B7" s="55">
        <f>IF(B4="Weekly",E4&amp;" - "&amp;H4,IF(B4="Monthly",E4,IF(B4="Quarterly",K4&amp;" "&amp;RIGHT(E4,2),"All Time")))</f>
        <v/>
      </c>
      <c r="C7" s="45" t="n"/>
      <c r="D7" s="54" t="inlineStr">
        <is>
          <t>Total Incidents</t>
        </is>
      </c>
      <c r="E7" s="56">
        <f>IF(B4="Weekly",SUMPRODUCT((MONTH('Data Entry'!A2:A356)=N4)*(YEAR('Data Entry'!A2:A356)=O4)*(INT((DAY('Data Entry'!A2:A356)-1)/7)+1=M4)*1),IF(B4="Monthly",SUMPRODUCT((MONTH('Data Entry'!A2:A356)=N4)*(YEAR('Data Entry'!A2:A356)=O4)*1),COUNTA('Data Entry'!A2:A356)))</f>
        <v/>
      </c>
      <c r="F7" s="45" t="n"/>
      <c r="G7" s="54" t="inlineStr">
        <is>
          <t>Ambulance</t>
        </is>
      </c>
      <c r="H7" s="56">
        <f>IF(B4="Weekly",SUMPRODUCT((MONTH('Data Entry'!A2:A356)=N4)*(YEAR('Data Entry'!A2:A356)=O4)*(INT((DAY('Data Entry'!A2:A356)-1)/7)+1=M4)*('Data Entry'!J2:J356="Yes")*1),IF(B4="Monthly",SUMPRODUCT((MONTH('Data Entry'!A2:A356)=N4)*(YEAR('Data Entry'!A2:A356)=O4)*('Data Entry'!J2:J356="Yes")*1),COUNTIF('Data Entry'!J2:J356,"Yes")))</f>
        <v/>
      </c>
      <c r="I7" s="45" t="n"/>
      <c r="J7" s="54" t="inlineStr">
        <is>
          <t>Avg Age</t>
        </is>
      </c>
      <c r="K7" s="56">
        <f>IFERROR(ROUND(IF(B4="Monthly",AVERAGEIF(MedicalData[Month],E4,MedicalData[Age]),IF(B4="Quarterly",AVERAGEIF(MedicalData[Quarter],K4,MedicalData[Age]),AVERAGE(MedicalData[Age]))),0),"-")</f>
        <v/>
      </c>
      <c r="L7" s="45" t="n"/>
      <c r="M7" s="45" t="n"/>
      <c r="N7" s="45" t="n"/>
      <c r="P7" s="5" t="n"/>
      <c r="Q7" s="5" t="n"/>
      <c r="R7" s="10">
        <f>IF(Q6="","",COUNTIF(MedicalData[Site],Q6))</f>
        <v/>
      </c>
      <c r="S7" s="5" t="n"/>
    </row>
    <row r="8">
      <c r="A8" s="45" t="n"/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P8" s="5" t="n"/>
      <c r="Q8" s="5" t="n"/>
      <c r="R8" s="5" t="n"/>
      <c r="S8" s="5" t="n"/>
    </row>
    <row r="9">
      <c r="A9" s="31" t="inlineStr">
        <is>
          <t>TOP INJURY</t>
        </is>
      </c>
      <c r="F9" s="31" t="inlineStr">
        <is>
          <t>TOP MECHANISM</t>
        </is>
      </c>
      <c r="K9" s="31" t="inlineStr">
        <is>
          <t>PEAK TIME</t>
        </is>
      </c>
      <c r="P9" s="31" t="inlineStr">
        <is>
          <t>P3 RATE</t>
        </is>
      </c>
    </row>
    <row r="11">
      <c r="B11" s="32">
        <f>IFERROR(INDEX(MedicalData[Specific injuries treated],MODE(MATCH(MedicalData[Specific injuries treated],MedicalData[Specific injuries treated],0))),"")</f>
        <v/>
      </c>
      <c r="G11" s="32">
        <f>IFERROR(INDEX(MedicalData[History/Mechanism of injury],MODE(MATCH(MedicalData[History/Mechanism of injury],MedicalData[History/Mechanism of injury],0))),"")</f>
        <v/>
      </c>
      <c r="L11" s="32">
        <f>IFERROR(INDEX(MedicalData[Time Period],MODE(MATCH(MedicalData[Time Period],MedicalData[Time Period],0))),"")</f>
        <v/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4">
      <c r="A14" s="33" t="inlineStr">
        <is>
          <t>PRIORITY BREAKDOWN</t>
        </is>
      </c>
    </row>
    <row r="16">
      <c r="A16" t="inlineStr">
        <is>
          <t>P1 (Critical)</t>
        </is>
      </c>
      <c r="B16">
        <f>IF($B$2="All Time",COUNTIF(MedicalData[Priority Of Pt],"P1"),COUNTIFS(MedicalData[Priority Of Pt],"P1",MedicalData[Month],$B$2))</f>
        <v/>
      </c>
      <c r="D16" t="inlineStr">
        <is>
          <t>P2 (Urgent)</t>
        </is>
      </c>
      <c r="E16">
        <f>IF($B$2="All Time",COUNTIF(MedicalData[Priority Of Pt],"P2"),COUNTIFS(MedicalData[Priority Of Pt],"P2",MedicalData[Month],$B$2))</f>
        <v/>
      </c>
      <c r="G16" t="inlineStr">
        <is>
          <t>P3 (Standard)</t>
        </is>
      </c>
      <c r="H16">
        <f>IF($B$2="All Time",COUNTIF(MedicalData[Priority Of Pt],"P3"),COUNTIFS(MedicalData[Priority Of Pt],"P3",MedicalData[Month],$B$2))</f>
        <v/>
      </c>
      <c r="J16" t="inlineStr">
        <is>
          <t>P4 (Minor)</t>
        </is>
      </c>
      <c r="K16">
        <f>IF($B$2="All Time",COUNTIF(MedicalData[Priority Of Pt],"P4"),COUNTIFS(MedicalData[Priority Of Pt],"P4",MedicalData[Month],$B$2))</f>
        <v/>
      </c>
    </row>
    <row r="19">
      <c r="A19" s="33" t="inlineStr">
        <is>
          <t>QUICK INSIGHTS</t>
        </is>
      </c>
    </row>
    <row r="21">
      <c r="A21" t="inlineStr">
        <is>
          <t>Busiest Day:</t>
        </is>
      </c>
      <c r="B21">
        <f>IFERROR(INDEX(MedicalData[Day of Week],MODE(MATCH(MedicalData[Day of Week],MedicalData[Day of Week],0))),"")</f>
        <v/>
      </c>
      <c r="E21" t="inlineStr">
        <is>
          <t>Top Program:</t>
        </is>
      </c>
      <c r="F21">
        <f>IFERROR(INDEX(MedicalData[Type of program],MODE(MATCH(MedicalData[Type of program],MedicalData[Type of program],0))),"")</f>
        <v/>
      </c>
      <c r="J21" t="inlineStr">
        <is>
          <t>Main Cause:</t>
        </is>
      </c>
      <c r="K21">
        <f>IFERROR(INDEX(MedicalData[Cause of injury],MODE(MATCH(MedicalData[Cause of injury],MedicalData[Cause of injury],0))),"")</f>
        <v/>
      </c>
    </row>
    <row r="25">
      <c r="A25" s="40" t="n"/>
    </row>
    <row r="26">
      <c r="A26" s="41" t="n"/>
    </row>
    <row r="28">
      <c r="A28" s="42" t="n"/>
      <c r="B28" s="42" t="n"/>
      <c r="C28" s="42" t="n"/>
      <c r="D28" s="42" t="n"/>
      <c r="E28" s="42" t="n"/>
      <c r="F28" s="42" t="n"/>
    </row>
    <row r="34">
      <c r="A34" s="30" t="n"/>
      <c r="B34" s="30" t="n"/>
      <c r="C34" s="30" t="n"/>
    </row>
    <row r="37">
      <c r="A37" s="40" t="n"/>
    </row>
    <row r="38">
      <c r="B38" s="33" t="n"/>
    </row>
    <row r="40">
      <c r="A40" s="42" t="n"/>
      <c r="B40" s="42" t="n"/>
      <c r="C40" s="42" t="n"/>
      <c r="D40" s="42" t="n"/>
      <c r="E40" s="42" t="n"/>
      <c r="F40" s="42" t="n"/>
    </row>
    <row r="41">
      <c r="F41" s="30" t="n"/>
    </row>
    <row r="42">
      <c r="F42" s="30" t="n"/>
    </row>
    <row r="44">
      <c r="F44" s="30" t="n"/>
    </row>
    <row r="46">
      <c r="A46" s="43" t="n"/>
    </row>
    <row r="61" ht="23.25" customHeight="1" s="21">
      <c r="A61" s="20" t="inlineStr">
        <is>
          <t>🚨 AUTOMATED SAFETY ALERTS</t>
        </is>
      </c>
    </row>
    <row r="63">
      <c r="A63" t="inlineStr">
        <is>
          <t>Alert 1: High-Risk Venue</t>
        </is>
      </c>
    </row>
    <row r="64">
      <c r="B64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</row>
    <row r="66">
      <c r="A66" t="inlineStr">
        <is>
          <t>Alert 2: Ankle Injuries</t>
        </is>
      </c>
    </row>
    <row r="67">
      <c r="B67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</row>
    <row r="69">
      <c r="A69" t="inlineStr">
        <is>
          <t>Alert 3: Player Contact</t>
        </is>
      </c>
    </row>
    <row r="70">
      <c r="B70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</row>
    <row r="72">
      <c r="A72" t="inlineStr">
        <is>
          <t>Alert 4: Minor Involvement</t>
        </is>
      </c>
    </row>
    <row r="73">
      <c r="B73">
        <f>IF(COUNTIFS(MedicalData[Age],"&lt;18")&gt;=4,"ℹ INFO: "&amp;COUNTIFS(MedicalData[Age],"&lt;18")&amp;" incidents involved minors. Ensure age-appropriate safety.","✓ Minor involvement acceptable")</f>
        <v/>
      </c>
    </row>
    <row r="76" ht="21" customHeight="1" s="21">
      <c r="A76" s="22" t="inlineStr">
        <is>
          <t>📋 SAFETY RECOMMENDATIONS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IF(B4="Weekly","Monday","Week 1")</f>
        <v/>
      </c>
      <c r="B91">
        <f>IF(B4="Weekly",SUMPRODUCT((MONTH('Data Entry'!A2:A356)=N4)*(YEAR('Data Entry'!A2:A356)=O4)*(INT((DAY('Data Entry'!A2:A356)-1)/7)+1=M4)*(WEEKDAY('Data Entry'!A2:A356,2)=1)*1),SUMPRODUCT((MONTH('Data Entry'!A2:A356)=N4)*(YEAR('Data Entry'!A2:A356)=O4)*(INT((DAY('Data Entry'!A2:A356)-1)/7)+1=1)*1))</f>
        <v/>
      </c>
      <c r="C91">
        <f>IF(B4="Weekly",SUMPRODUCT((MONTH('Data Entry'!A2:A356)=N4)*(YEAR('Data Entry'!A2:A356)=O4)*(INT((DAY('Data Entry'!A2:A356)-1)/7)+1=M4)*(WEEKDAY('Data Entry'!A2:A356,2)=1)*('Data Entry'!J2:J356="Yes")*1),SUMPRODUCT((MONTH('Data Entry'!A2:A356)=N4)*(YEAR('Data Entry'!A2:A356)=O4)*(INT((DAY('Data Entry'!A2:A356)-1)/7)+1=1)*('Data Entry'!J2:J356="Yes")*1))</f>
        <v/>
      </c>
      <c r="D91">
        <f>IF(B91=0,"-",17)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IF(B4="Weekly","Tuesday","Week 2")</f>
        <v/>
      </c>
      <c r="B92">
        <f>IF(B4="Weekly",SUMPRODUCT((MONTH('Data Entry'!A2:A356)=N4)*(YEAR('Data Entry'!A2:A356)=O4)*(INT((DAY('Data Entry'!A2:A356)-1)/7)+1=M4)*(WEEKDAY('Data Entry'!A2:A356,2)=2)*1),SUMPRODUCT((MONTH('Data Entry'!A2:A356)=N4)*(YEAR('Data Entry'!A2:A356)=O4)*(INT((DAY('Data Entry'!A2:A356)-1)/7)+1=2)*1))</f>
        <v/>
      </c>
      <c r="C92">
        <f>IF(B4="Weekly",SUMPRODUCT((MONTH('Data Entry'!A2:A356)=N4)*(YEAR('Data Entry'!A2:A356)=O4)*(INT((DAY('Data Entry'!A2:A356)-1)/7)+1=M4)*(WEEKDAY('Data Entry'!A2:A356,2)=2)*('Data Entry'!J2:J356="Yes")*1),SUMPRODUCT((MONTH('Data Entry'!A2:A356)=N4)*(YEAR('Data Entry'!A2:A356)=O4)*(INT((DAY('Data Entry'!A2:A356)-1)/7)+1=2)*('Data Entry'!J2:J356="Yes")*1))</f>
        <v/>
      </c>
      <c r="D92">
        <f>IF(B92=0,"-",17)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IF(B4="Weekly","Wednesday","Week 3")</f>
        <v/>
      </c>
      <c r="B93">
        <f>IF(B4="Weekly",SUMPRODUCT((MONTH('Data Entry'!A2:A356)=N4)*(YEAR('Data Entry'!A2:A356)=O4)*(INT((DAY('Data Entry'!A2:A356)-1)/7)+1=M4)*(WEEKDAY('Data Entry'!A2:A356,2)=3)*1),SUMPRODUCT((MONTH('Data Entry'!A2:A356)=N4)*(YEAR('Data Entry'!A2:A356)=O4)*(INT((DAY('Data Entry'!A2:A356)-1)/7)+1=3)*1))</f>
        <v/>
      </c>
      <c r="C93">
        <f>IF(B4="Weekly",SUMPRODUCT((MONTH('Data Entry'!A2:A356)=N4)*(YEAR('Data Entry'!A2:A356)=O4)*(INT((DAY('Data Entry'!A2:A356)-1)/7)+1=M4)*(WEEKDAY('Data Entry'!A2:A356,2)=3)*('Data Entry'!J2:J356="Yes")*1),SUMPRODUCT((MONTH('Data Entry'!A2:A356)=N4)*(YEAR('Data Entry'!A2:A356)=O4)*(INT((DAY('Data Entry'!A2:A356)-1)/7)+1=3)*('Data Entry'!J2:J356="Yes")*1))</f>
        <v/>
      </c>
      <c r="D93">
        <f>IF(B93=0,"-",17)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IF(B4="Weekly","Thursday","Week 4")</f>
        <v/>
      </c>
      <c r="B94">
        <f>IF(B4="Weekly",SUMPRODUCT((MONTH('Data Entry'!A2:A356)=N4)*(YEAR('Data Entry'!A2:A356)=O4)*(INT((DAY('Data Entry'!A2:A356)-1)/7)+1=M4)*(WEEKDAY('Data Entry'!A2:A356,2)=4)*1),SUMPRODUCT((MONTH('Data Entry'!A2:A356)=N4)*(YEAR('Data Entry'!A2:A356)=O4)*(INT((DAY('Data Entry'!A2:A356)-1)/7)+1=4)*1))</f>
        <v/>
      </c>
      <c r="C94">
        <f>IF(B4="Weekly",SUMPRODUCT((MONTH('Data Entry'!A2:A356)=N4)*(YEAR('Data Entry'!A2:A356)=O4)*(INT((DAY('Data Entry'!A2:A356)-1)/7)+1=M4)*(WEEKDAY('Data Entry'!A2:A356,2)=4)*('Data Entry'!J2:J356="Yes")*1),SUMPRODUCT((MONTH('Data Entry'!A2:A356)=N4)*(YEAR('Data Entry'!A2:A356)=O4)*(INT((DAY('Data Entry'!A2:A356)-1)/7)+1=4)*('Data Entry'!J2:J356="Yes")*1))</f>
        <v/>
      </c>
      <c r="D94">
        <f>IF(B94=0,"-",17)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IF(B4="Weekly","Friday","Week 5")</f>
        <v/>
      </c>
      <c r="B95">
        <f>IF(B4="Weekly",SUMPRODUCT((MONTH('Data Entry'!A2:A356)=N4)*(YEAR('Data Entry'!A2:A356)=O4)*(INT((DAY('Data Entry'!A2:A356)-1)/7)+1=M4)*(WEEKDAY('Data Entry'!A2:A356,2)=5)*1),SUMPRODUCT((MONTH('Data Entry'!A2:A356)=N4)*(YEAR('Data Entry'!A2:A356)=O4)*(INT((DAY('Data Entry'!A2:A356)-1)/7)+1=5)*1))</f>
        <v/>
      </c>
      <c r="C95">
        <f>IF(B4="Weekly",SUMPRODUCT((MONTH('Data Entry'!A2:A356)=N4)*(YEAR('Data Entry'!A2:A356)=O4)*(INT((DAY('Data Entry'!A2:A356)-1)/7)+1=M4)*(WEEKDAY('Data Entry'!A2:A356,2)=5)*('Data Entry'!J2:J356="Yes")*1),SUMPRODUCT((MONTH('Data Entry'!A2:A356)=N4)*(YEAR('Data Entry'!A2:A356)=O4)*(INT((DAY('Data Entry'!A2:A356)-1)/7)+1=5)*('Data Entry'!J2:J356="Yes")*1))</f>
        <v/>
      </c>
      <c r="D95">
        <f>IF(B95=0,"-",17)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SUM(B91:B95)</f>
        <v/>
      </c>
      <c r="C96" s="30">
        <f>SUM(C91:C95)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</t>
        </is>
      </c>
      <c r="B103" s="42">
        <f>COUNTIF(MedicalData[Quarter],A103)</f>
        <v/>
      </c>
      <c r="C103" s="42">
        <f>COUNTIFS(MedicalData[Quarter],A103,MedicalData[Hospital Transportation],"Yes")</f>
        <v/>
      </c>
      <c r="D103" s="42">
        <f>IFERROR(ROUND(AVERAGEIF(MedicalData[Quarter],A103,MedicalData[Age]),0),"-")</f>
        <v/>
      </c>
      <c r="E103" s="42" t="n"/>
      <c r="F103" s="42" t="n"/>
    </row>
    <row r="104">
      <c r="A104" t="inlineStr">
        <is>
          <t>Q2</t>
        </is>
      </c>
      <c r="B104">
        <f>COUNTIF(MedicalData[Quarter],A104)</f>
        <v/>
      </c>
      <c r="C104">
        <f>COUNTIFS(MedicalData[Quarter],A104,MedicalData[Hospital Transportation],"Yes")</f>
        <v/>
      </c>
      <c r="D104">
        <f>IFERROR(ROUND(AVERAGEIF(MedicalData[Quarter],A104,MedicalData[Age]),0),"-")</f>
        <v/>
      </c>
      <c r="E104">
        <f>IF(B103=0,"-",TEXT((B104-B103)/B103,"+0%;-0%"))</f>
        <v/>
      </c>
      <c r="F104" s="30" t="n"/>
    </row>
    <row r="105">
      <c r="A105" t="inlineStr">
        <is>
          <t>Q3</t>
        </is>
      </c>
      <c r="B105">
        <f>COUNTIF(MedicalData[Quarter],A105)</f>
        <v/>
      </c>
      <c r="C105">
        <f>COUNTIFS(MedicalData[Quarter],A105,MedicalData[Hospital Transportation],"Yes")</f>
        <v/>
      </c>
      <c r="D105">
        <f>IFERROR(ROUND(AVERAGEIF(MedicalData[Quarter],A105,MedicalData[Age]),0),"-")</f>
        <v/>
      </c>
      <c r="E105">
        <f>IF(B104=0,"-",TEXT((B105-B104)/B104,"+0%;-0%"))</f>
        <v/>
      </c>
      <c r="F105" s="30" t="n"/>
    </row>
    <row r="106">
      <c r="A106" t="inlineStr">
        <is>
          <t>Q4</t>
        </is>
      </c>
      <c r="B106">
        <f>COUNTIF(MedicalData[Quarter],A106)</f>
        <v/>
      </c>
      <c r="C106">
        <f>COUNTIFS(MedicalData[Quarter],A106,MedicalData[Hospital Transportation],"Yes")</f>
        <v/>
      </c>
      <c r="D106">
        <f>IFERROR(ROUND(AVERAGEIF(MedicalData[Quarter],A106,MedicalData[Age]),0),"-")</f>
        <v/>
      </c>
      <c r="E106">
        <f>IF(B105=0,"-",TEXT((B106-B105)/B105,"+0%;-0%"))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IFERROR(ROUND(AVERAGE(MedicalData[Age]),0),"-")</f>
        <v/>
      </c>
      <c r="F107" s="30" t="n"/>
    </row>
    <row r="109">
      <c r="A109" s="43" t="n"/>
    </row>
  </sheetData>
  <mergeCells count="2">
    <mergeCell ref="A76:N76"/>
    <mergeCell ref="A61:N61"/>
  </mergeCells>
  <dataValidations count="4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IF(Dashboard!B4="Weekly",SUMPRODUCT((MONTH('Data Entry'!A2:A356)=Dashboard!N4)*(YEAR('Data Entry'!A2:A356)=Dashboard!O4)*(INT((DAY('Data Entry'!A2:A356)-1)/7)+1=Dashboard!M4)*('Data Entry'!F2:F356=A4)*1),IF(Dashboard!B4="Monthly",SUMPRODUCT((MONTH('Data Entry'!A2:A356)=Dashboard!N4)*(YEAR('Data Entry'!A2:A356)=Dashboard!O4)*('Data Entry'!F2:F356=A4)*1),COUNTIF('Data Entry'!F2:F356,A4)))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IF(Dashboard!B4="Weekly",SUMPRODUCT((MONTH('Data Entry'!A2:A356)=Dashboard!N4)*(YEAR('Data Entry'!A2:A356)=Dashboard!O4)*(INT((DAY('Data Entry'!A2:A356)-1)/7)+1=Dashboard!M4)*('Data Entry'!F2:F356=A5)*1),IF(Dashboard!B4="Monthly",SUMPRODUCT((MONTH('Data Entry'!A2:A356)=Dashboard!N4)*(YEAR('Data Entry'!A2:A356)=Dashboard!O4)*('Data Entry'!F2:F356=A5)*1),COUNTIF('Data Entry'!F2:F356,A5)))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IF(Dashboard!B4="Weekly",SUMPRODUCT((MONTH('Data Entry'!A2:A356)=Dashboard!N4)*(YEAR('Data Entry'!A2:A356)=Dashboard!O4)*(INT((DAY('Data Entry'!A2:A356)-1)/7)+1=Dashboard!M4)*('Data Entry'!F2:F356=A6)*1),IF(Dashboard!B4="Monthly",SUMPRODUCT((MONTH('Data Entry'!A2:A356)=Dashboard!N4)*(YEAR('Data Entry'!A2:A356)=Dashboard!O4)*('Data Entry'!F2:F356=A6)*1),COUNTIF('Data Entry'!F2:F356,A6)))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IF(Dashboard!B4="Weekly",SUMPRODUCT((MONTH('Data Entry'!A2:A356)=Dashboard!N4)*(YEAR('Data Entry'!A2:A356)=Dashboard!O4)*(INT((DAY('Data Entry'!A2:A356)-1)/7)+1=Dashboard!M4)*('Data Entry'!F2:F356=A7)*1),IF(Dashboard!B4="Monthly",SUMPRODUCT((MONTH('Data Entry'!A2:A356)=Dashboard!N4)*(YEAR('Data Entry'!A2:A356)=Dashboard!O4)*('Data Entry'!F2:F356=A7)*1),COUNTIF('Data Entry'!F2:F356,A7)))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IF(Dashboard!B4="Weekly",SUMPRODUCT((MONTH('Data Entry'!A2:A356)=Dashboard!N4)*(YEAR('Data Entry'!A2:A356)=Dashboard!O4)*(INT((DAY('Data Entry'!A2:A356)-1)/7)+1=Dashboard!M4)*('Data Entry'!F2:F356=A8)*1),IF(Dashboard!B4="Monthly",SUMPRODUCT((MONTH('Data Entry'!A2:A356)=Dashboard!N4)*(YEAR('Data Entry'!A2:A356)=Dashboard!O4)*('Data Entry'!F2:F356=A8)*1),COUNTIF('Data Entry'!F2:F356,A8)))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IF(Dashboard!B4="Weekly",SUMPRODUCT((MONTH('Data Entry'!A2:A356)=Dashboard!N4)*(YEAR('Data Entry'!A2:A356)=Dashboard!O4)*(INT((DAY('Data Entry'!A2:A356)-1)/7)+1=Dashboard!M4)*('Data Entry'!F2:F356=A9)*1),IF(Dashboard!B4="Monthly",SUMPRODUCT((MONTH('Data Entry'!A2:A356)=Dashboard!N4)*(YEAR('Data Entry'!A2:A356)=Dashboard!O4)*('Data Entry'!F2:F356=A9)*1),COUNTIF('Data Entry'!F2:F356,A9)))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IF(Dashboard!B4="Weekly",SUMPRODUCT((MONTH('Data Entry'!A2:A356)=Dashboard!N4)*(YEAR('Data Entry'!A2:A356)=Dashboard!O4)*(INT((DAY('Data Entry'!A2:A356)-1)/7)+1=Dashboard!M4)*('Data Entry'!F2:F356=A10)*1),IF(Dashboard!B4="Monthly",SUMPRODUCT((MONTH('Data Entry'!A2:A356)=Dashboard!N4)*(YEAR('Data Entry'!A2:A356)=Dashboard!O4)*('Data Entry'!F2:F356=A10)*1),COUNTIF('Data Entry'!F2:F356,A10)))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IF(Dashboard!B4="Weekly",SUMPRODUCT((MONTH('Data Entry'!A2:A356)=Dashboard!N4)*(YEAR('Data Entry'!A2:A356)=Dashboard!O4)*(INT((DAY('Data Entry'!A2:A356)-1)/7)+1=Dashboard!M4)*('Data Entry'!F2:F356=A11)*1),IF(Dashboard!B4="Monthly",SUMPRODUCT((MONTH('Data Entry'!A2:A356)=Dashboard!N4)*(YEAR('Data Entry'!A2:A356)=Dashboard!O4)*('Data Entry'!F2:F356=A11)*1),COUNTIF('Data Entry'!F2:F356,A11)))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IF(Dashboard!B4="Weekly",SUMPRODUCT((MONTH('Data Entry'!A2:A356)=Dashboard!N4)*(YEAR('Data Entry'!A2:A356)=Dashboard!O4)*(INT((DAY('Data Entry'!A2:A356)-1)/7)+1=Dashboard!M4)*('Data Entry'!F2:F356=A12)*1),IF(Dashboard!B4="Monthly",SUMPRODUCT((MONTH('Data Entry'!A2:A356)=Dashboard!N4)*(YEAR('Data Entry'!A2:A356)=Dashboard!O4)*('Data Entry'!F2:F356=A12)*1),COUNTIF('Data Entry'!F2:F356,A12)))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IF(Dashboard!B4="Weekly",SUMPRODUCT((MONTH('Data Entry'!A2:A356)=Dashboard!N4)*(YEAR('Data Entry'!A2:A356)=Dashboard!O4)*(INT((DAY('Data Entry'!A2:A356)-1)/7)+1=Dashboard!M4)*('Data Entry'!F2:F356=A13)*1),IF(Dashboard!B4="Monthly",SUMPRODUCT((MONTH('Data Entry'!A2:A356)=Dashboard!N4)*(YEAR('Data Entry'!A2:A356)=Dashboard!O4)*('Data Entry'!F2:F356=A13)*1),COUNTIF('Data Entry'!F2:F356,A13)))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IF(Dashboard!B4="Weekly",SUMPRODUCT((MONTH('Data Entry'!A2:A356)=Dashboard!N4)*(YEAR('Data Entry'!A2:A356)=Dashboard!O4)*(INT((DAY('Data Entry'!A2:A356)-1)/7)+1=Dashboard!M4)*('Data Entry'!F2:F356=A14)*1),IF(Dashboard!B4="Monthly",SUMPRODUCT((MONTH('Data Entry'!A2:A356)=Dashboard!N4)*(YEAR('Data Entry'!A2:A356)=Dashboard!O4)*('Data Entry'!F2:F356=A14)*1),COUNTIF('Data Entry'!F2:F356,A14)))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IF(Dashboard!B4="Weekly",SUMPRODUCT((MONTH('Data Entry'!A2:A356)=Dashboard!N4)*(YEAR('Data Entry'!A2:A356)=Dashboard!O4)*(INT((DAY('Data Entry'!A2:A356)-1)/7)+1=Dashboard!M4)*('Data Entry'!F2:F356=A15)*1),IF(Dashboard!B4="Monthly",SUMPRODUCT((MONTH('Data Entry'!A2:A356)=Dashboard!N4)*(YEAR('Data Entry'!A2:A356)=Dashboard!O4)*('Data Entry'!F2:F356=A15)*1),COUNTIF('Data Entry'!F2:F356,A15)))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IF(Dashboard!B4="Weekly",SUMPRODUCT((MONTH('Data Entry'!A2:A356)=Dashboard!N4)*(YEAR('Data Entry'!A2:A356)=Dashboard!O4)*(INT((DAY('Data Entry'!A2:A356)-1)/7)+1=Dashboard!M4)*('Data Entry'!F2:F356=A16)*1),IF(Dashboard!B4="Monthly",SUMPRODUCT((MONTH('Data Entry'!A2:A356)=Dashboard!N4)*(YEAR('Data Entry'!A2:A356)=Dashboard!O4)*('Data Entry'!F2:F356=A16)*1),COUNTIF('Data Entry'!F2:F356,A16)))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IF(Dashboard!B4="Weekly",SUMPRODUCT((MONTH('Data Entry'!A2:A356)=Dashboard!N4)*(YEAR('Data Entry'!A2:A356)=Dashboard!O4)*(INT((DAY('Data Entry'!A2:A356)-1)/7)+1=Dashboard!M4)*('Data Entry'!F2:F356=A17)*1),IF(Dashboard!B4="Monthly",SUMPRODUCT((MONTH('Data Entry'!A2:A356)=Dashboard!N4)*(YEAR('Data Entry'!A2:A356)=Dashboard!O4)*('Data Entry'!F2:F356=A17)*1),COUNTIF('Data Entry'!F2:F356,A17)))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IF(Dashboard!B4="Weekly",SUMPRODUCT((MONTH('Data Entry'!A2:A356)=Dashboard!N4)*(YEAR('Data Entry'!A2:A356)=Dashboard!O4)*(INT((DAY('Data Entry'!A2:A356)-1)/7)+1=Dashboard!M4)*('Data Entry'!F2:F356=A18)*1),IF(Dashboard!B4="Monthly",SUMPRODUCT((MONTH('Data Entry'!A2:A356)=Dashboard!N4)*(YEAR('Data Entry'!A2:A356)=Dashboard!O4)*('Data Entry'!F2:F356=A18)*1),COUNTIF('Data Entry'!F2:F356,A18)))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IF(Dashboard!B4="Weekly",SUMPRODUCT((MONTH('Data Entry'!A2:A356)=Dashboard!N4)*(YEAR('Data Entry'!A2:A356)=Dashboard!O4)*(INT((DAY('Data Entry'!A2:A356)-1)/7)+1=Dashboard!M4)*('Data Entry'!F2:F356=A19)*1),IF(Dashboard!B4="Monthly",SUMPRODUCT((MONTH('Data Entry'!A2:A356)=Dashboard!N4)*(YEAR('Data Entry'!A2:A356)=Dashboard!O4)*('Data Entry'!F2:F356=A19)*1),COUNTIF('Data Entry'!F2:F356,A19)))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IF(Dashboard!B4="Weekly",SUMPRODUCT((MedicalData[Month]=Dashboard!E4)*(INT((DAY(MedicalData[Date])-1)/7)+1=Dashboard!$M$4)*(ISNUMBER(SEARCH(A5,MedicalData[Specific injuries treated])))*1),IF(Dashboard!B4="Monthly",COUNTIFS(MedicalData[Specific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IF(Dashboard!B4="Weekly",SUMPRODUCT((MedicalData[Month]=Dashboard!E4)*(INT((DAY(MedicalData[Date])-1)/7)+1=Dashboard!$M$4)*(ISNUMBER(SEARCH(A6,MedicalData[Specific injuries treated])))*1),IF(Dashboard!B4="Monthly",COUNTIFS(MedicalData[Specific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IF(Dashboard!B4="Weekly",SUMPRODUCT((MedicalData[Month]=Dashboard!E4)*(INT((DAY(MedicalData[Date])-1)/7)+1=Dashboard!$M$4)*(ISNUMBER(SEARCH(A7,MedicalData[Specific injuries treated])))*1),IF(Dashboard!B4="Monthly",COUNTIFS(MedicalData[Specific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IF(Dashboard!B4="Weekly",SUMPRODUCT((MedicalData[Month]=Dashboard!E4)*(INT((DAY(MedicalData[Date])-1)/7)+1=Dashboard!$M$4)*(ISNUMBER(SEARCH(A8,MedicalData[Specific injuries treated])))*1),IF(Dashboard!B4="Monthly",COUNTIFS(MedicalData[Specific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IF(Dashboard!B4="Weekly",SUMPRODUCT((MedicalData[Month]=Dashboard!E4)*(INT((DAY(MedicalData[Date])-1)/7)+1=Dashboard!$M$4)*(ISNUMBER(SEARCH(A9,MedicalData[Specific injuries treated])))*1),IF(Dashboard!B4="Monthly",COUNTIFS(MedicalData[Specific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IF(Dashboard!B4="Weekly",SUMPRODUCT((MedicalData[Month]=Dashboard!E4)*(INT((DAY(MedicalData[Date])-1)/7)+1=Dashboard!$M$4)*(ISNUMBER(SEARCH(A10,MedicalData[Specific injuries treated])))*1),IF(Dashboard!B4="Monthly",COUNTIFS(MedicalData[Specific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IF(Dashboard!B4="Weekly",SUMPRODUCT((MedicalData[Month]=Dashboard!E4)*(INT((DAY(MedicalData[Date])-1)/7)+1=Dashboard!$M$4)*(ISNUMBER(SEARCH(A11,MedicalData[Specific injuries treated])))*1),IF(Dashboard!B4="Monthly",COUNTIFS(MedicalData[Specific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IF(Dashboard!B4="Weekly",SUMPRODUCT((MedicalData[Month]=Dashboard!E4)*(INT((DAY(MedicalData[Date])-1)/7)+1=Dashboard!$M$4)*(ISNUMBER(SEARCH(A12,MedicalData[Specific injuries treated])))*1),IF(Dashboard!B4="Monthly",COUNTIFS(MedicalData[Specific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IF(Dashboard!B4="Weekly",SUMPRODUCT((MedicalData[Month]=Dashboard!E4)*(INT((DAY(MedicalData[Date])-1)/7)+1=Dashboard!$M$4)*(ISNUMBER(SEARCH(A13,MedicalData[Specific injuries treated])))*1),IF(Dashboard!B4="Monthly",COUNTIFS(MedicalData[Specific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IF(Dashboard!B4="Weekly",SUMPRODUCT((MedicalData[Month]=Dashboard!E4)*(INT((DAY(MedicalData[Date])-1)/7)+1=Dashboard!$M$4)*(ISNUMBER(SEARCH(A14,MedicalData[Specific injuries treated])))*1),IF(Dashboard!B4="Monthly",COUNTIFS(MedicalData[Specific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IF(Dashboard!B4="Weekly",SUMPRODUCT((MedicalData[Month]=Dashboard!E4)*(INT((DAY(MedicalData[Date])-1)/7)+1=Dashboard!$M$4)*(ISNUMBER(SEARCH(A15,MedicalData[Specific injuries treated])))*1),IF(Dashboard!B4="Monthly",COUNTIFS(MedicalData[Specific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IF(Dashboard!B4="Weekly",SUMPRODUCT((MedicalData[Month]=Dashboard!E4)*(INT((DAY(MedicalData[Date])-1)/7)+1=Dashboard!$M$4)*(ISNUMBER(SEARCH(A16,MedicalData[Specific injuries treated])))*1),IF(Dashboard!B4="Monthly",COUNTIFS(MedicalData[Specific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IF(Dashboard!B4="Weekly",SUMPRODUCT((MedicalData[Month]=Dashboard!E4)*(INT((DAY(MedicalData[Date])-1)/7)+1=Dashboard!$M$4)*(ISNUMBER(SEARCH(A17,MedicalData[Specific injuries treated])))*1),IF(Dashboard!B4="Monthly",COUNTIFS(MedicalData[Specific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IF(Dashboard!B4="Weekly",SUMPRODUCT((MedicalData[Month]=Dashboard!E4)*(INT((DAY(MedicalData[Date])-1)/7)+1=Dashboard!$M$4)*(ISNUMBER(SEARCH(A18,MedicalData[Specific injuries treated])))*1),IF(Dashboard!B4="Monthly",COUNTIFS(MedicalData[Specific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IF(Dashboard!B4="Weekly",SUMPRODUCT((MedicalData[Month]=Dashboard!E4)*(INT((DAY(MedicalData[Date])-1)/7)+1=Dashboard!$M$4)*(ISNUMBER(SEARCH(A19,MedicalData[Specific injuries treated])))*1),IF(Dashboard!B4="Monthly",COUNTIFS(MedicalData[Specific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IF(Dashboard!B4="Weekly",SUMPRODUCT((MedicalData[Month]=Dashboard!E4)*(INT((DAY(MedicalData[Date])-1)/7)+1=Dashboard!$M$4)*(ISNUMBER(SEARCH(A20,MedicalData[Specific injuries treated])))*1),IF(Dashboard!B4="Monthly",COUNTIFS(MedicalData[Specific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IF(Dashboard!B4="Weekly",SUMPRODUCT((MedicalData[Month]=Dashboard!E4)*(INT((DAY(MedicalData[Date])-1)/7)+1=Dashboard!$M$4)*(ISNUMBER(SEARCH(A21,MedicalData[Specific injuries treated])))*1),IF(Dashboard!B4="Monthly",COUNTIFS(MedicalData[Specific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IF(Dashboard!B4="Weekly",SUMPRODUCT((MedicalData[Month]=Dashboard!E4)*(INT((DAY(MedicalData[Date])-1)/7)+1=Dashboard!$M$4)*(ISNUMBER(SEARCH(A22,MedicalData[Specific injuries treated])))*1),IF(Dashboard!B4="Monthly",COUNTIFS(MedicalData[Specific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IF(Dashboard!B4="Weekly",SUMPRODUCT((MedicalData[Month]=Dashboard!E4)*(INT((DAY(MedicalData[Date])-1)/7)+1=Dashboard!$M$4)*(ISNUMBER(SEARCH(A23,MedicalData[Specific injuries treated])))*1),IF(Dashboard!B4="Monthly",COUNTIFS(MedicalData[Specific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IF(Dashboard!B4="Weekly",SUMPRODUCT((MONTH('Data Entry'!A2:A356)=Dashboard!N4)*(YEAR('Data Entry'!A2:A356)=Dashboard!O4)*(INT((DAY('Data Entry'!A2:A356)-1)/7)+1=Dashboard!M4)*('Data Entry'!D2:D356=A5)*1),IF(Dashboard!B4="Monthly",SUMPRODUCT((MONTH('Data Entry'!A2:A356)=Dashboard!N4)*(YEAR('Data Entry'!A2:A356)=Dashboard!O4)*('Data Entry'!D2:D356=A5)*1),COUNTIF('Data Entry'!D2:D356,A5)))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IF(Dashboard!B4="Weekly",SUMPRODUCT((MONTH('Data Entry'!A2:A356)=Dashboard!N4)*(YEAR('Data Entry'!A2:A356)=Dashboard!O4)*(INT((DAY('Data Entry'!A2:A356)-1)/7)+1=Dashboard!M4)*('Data Entry'!D2:D356=A6)*1),IF(Dashboard!B4="Monthly",SUMPRODUCT((MONTH('Data Entry'!A2:A356)=Dashboard!N4)*(YEAR('Data Entry'!A2:A356)=Dashboard!O4)*('Data Entry'!D2:D356=A6)*1),COUNTIF('Data Entry'!D2:D356,A6)))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IF(Dashboard!B4="Weekly",SUMPRODUCT((MONTH('Data Entry'!A2:A356)=Dashboard!N4)*(YEAR('Data Entry'!A2:A356)=Dashboard!O4)*(INT((DAY('Data Entry'!A2:A356)-1)/7)+1=Dashboard!M4)*('Data Entry'!D2:D356=A7)*1),IF(Dashboard!B4="Monthly",SUMPRODUCT((MONTH('Data Entry'!A2:A356)=Dashboard!N4)*(YEAR('Data Entry'!A2:A356)=Dashboard!O4)*('Data Entry'!D2:D356=A7)*1),COUNTIF('Data Entry'!D2:D356,A7)))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IF(Dashboard!B4="Weekly",SUMPRODUCT((MONTH('Data Entry'!A2:A356)=Dashboard!N4)*(YEAR('Data Entry'!A2:A356)=Dashboard!O4)*(INT((DAY('Data Entry'!A2:A356)-1)/7)+1=Dashboard!M4)*('Data Entry'!D2:D356=A8)*1),IF(Dashboard!B4="Monthly",SUMPRODUCT((MONTH('Data Entry'!A2:A356)=Dashboard!N4)*(YEAR('Data Entry'!A2:A356)=Dashboard!O4)*('Data Entry'!D2:D356=A8)*1),COUNTIF('Data Entry'!D2:D356,A8)))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IF(Dashboard!B4="Weekly",SUMPRODUCT((MONTH('Data Entry'!A2:A356)=Dashboard!N4)*(YEAR('Data Entry'!A2:A356)=Dashboard!O4)*(INT((DAY('Data Entry'!A2:A356)-1)/7)+1=Dashboard!M4)*('Data Entry'!D2:D356=A9)*1),IF(Dashboard!B4="Monthly",SUMPRODUCT((MONTH('Data Entry'!A2:A356)=Dashboard!N4)*(YEAR('Data Entry'!A2:A356)=Dashboard!O4)*('Data Entry'!D2:D356=A9)*1),COUNTIF('Data Entry'!D2:D356,A9)))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IF(Dashboard!B4="Weekly",SUMPRODUCT((MONTH('Data Entry'!A2:A356)=Dashboard!N4)*(YEAR('Data Entry'!A2:A356)=Dashboard!O4)*(INT((DAY('Data Entry'!A2:A356)-1)/7)+1=Dashboard!M4)*('Data Entry'!D2:D356=A10)*1),IF(Dashboard!B4="Monthly",SUMPRODUCT((MONTH('Data Entry'!A2:A356)=Dashboard!N4)*(YEAR('Data Entry'!A2:A356)=Dashboard!O4)*('Data Entry'!D2:D356=A10)*1),COUNTIF('Data Entry'!D2:D356,A10)))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IF(Dashboard!B4="Weekly",SUMPRODUCT((MONTH('Data Entry'!A2:A356)=Dashboard!N4)*(YEAR('Data Entry'!A2:A356)=Dashboard!O4)*(INT((DAY('Data Entry'!A2:A356)-1)/7)+1=Dashboard!M4)*('Data Entry'!D2:D356=A11)*1),IF(Dashboard!B4="Monthly",SUMPRODUCT((MONTH('Data Entry'!A2:A356)=Dashboard!N4)*(YEAR('Data Entry'!A2:A356)=Dashboard!O4)*('Data Entry'!D2:D356=A11)*1),COUNTIF('Data Entry'!D2:D356,A11)))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IF(Dashboard!B4="Weekly",SUMPRODUCT((MONTH('Data Entry'!A2:A356)=Dashboard!N4)*(YEAR('Data Entry'!A2:A356)=Dashboard!O4)*(INT((DAY('Data Entry'!A2:A356)-1)/7)+1=Dashboard!M4)*('Data Entry'!D2:D356=A12)*1),IF(Dashboard!B4="Monthly",SUMPRODUCT((MONTH('Data Entry'!A2:A356)=Dashboard!N4)*(YEAR('Data Entry'!A2:A356)=Dashboard!O4)*('Data Entry'!D2:D356=A12)*1),COUNTIF('Data Entry'!D2:D356,A12)))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IF(Dashboard!B4="Weekly",SUMPRODUCT((MONTH('Data Entry'!A2:A356)=Dashboard!N4)*(YEAR('Data Entry'!A2:A356)=Dashboard!O4)*(INT((DAY('Data Entry'!A2:A356)-1)/7)+1=Dashboard!M4)*('Data Entry'!D2:D356=A13)*1),IF(Dashboard!B4="Monthly",SUMPRODUCT((MONTH('Data Entry'!A2:A356)=Dashboard!N4)*(YEAR('Data Entry'!A2:A356)=Dashboard!O4)*('Data Entry'!D2:D356=A13)*1),COUNTIF('Data Entry'!D2:D356,A13)))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IF(Dashboard!B4="Weekly",SUMPRODUCT((MONTH('Data Entry'!A2:A356)=Dashboard!N4)*(YEAR('Data Entry'!A2:A356)=Dashboard!O4)*(INT((DAY('Data Entry'!A2:A356)-1)/7)+1=Dashboard!M4)*('Data Entry'!D2:D356=A14)*1),IF(Dashboard!B4="Monthly",SUMPRODUCT((MONTH('Data Entry'!A2:A356)=Dashboard!N4)*(YEAR('Data Entry'!A2:A356)=Dashboard!O4)*('Data Entry'!D2:D356=A14)*1),COUNTIF('Data Entry'!D2:D356,A14)))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IF(Dashboard!B4="Weekly",SUMPRODUCT((MONTH('Data Entry'!A2:A356)=Dashboard!N4)*(YEAR('Data Entry'!A2:A356)=Dashboard!O4)*(INT((DAY('Data Entry'!A2:A356)-1)/7)+1=Dashboard!M4)*('Data Entry'!D2:D356=A15)*1),IF(Dashboard!B4="Monthly",SUMPRODUCT((MONTH('Data Entry'!A2:A356)=Dashboard!N4)*(YEAR('Data Entry'!A2:A356)=Dashboard!O4)*('Data Entry'!D2:D356=A15)*1),COUNTIF('Data Entry'!D2:D356,A15)))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IF(Dashboard!B4="Weekly",SUMPRODUCT((MONTH('Data Entry'!A2:A356)=Dashboard!N4)*(YEAR('Data Entry'!A2:A356)=Dashboard!O4)*(INT((DAY('Data Entry'!A2:A356)-1)/7)+1=Dashboard!M4)*('Data Entry'!D2:D356=A16)*1),IF(Dashboard!B4="Monthly",SUMPRODUCT((MONTH('Data Entry'!A2:A356)=Dashboard!N4)*(YEAR('Data Entry'!A2:A356)=Dashboard!O4)*('Data Entry'!D2:D356=A16)*1),COUNTIF('Data Entry'!D2:D356,A16)))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IF(Dashboard!B4="Weekly",SUMPRODUCT((MONTH('Data Entry'!A2:A356)=Dashboard!N4)*(YEAR('Data Entry'!A2:A356)=Dashboard!O4)*(INT((DAY('Data Entry'!A2:A356)-1)/7)+1=Dashboard!M4)*('Data Entry'!D2:D356=A17)*1),IF(Dashboard!B4="Monthly",SUMPRODUCT((MONTH('Data Entry'!A2:A356)=Dashboard!N4)*(YEAR('Data Entry'!A2:A356)=Dashboard!O4)*('Data Entry'!D2:D356=A17)*1),COUNTIF('Data Entry'!D2:D356,A17)))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IF(Dashboard!B4="Weekly",SUMPRODUCT((MONTH('Data Entry'!A2:A356)=Dashboard!N4)*(YEAR('Data Entry'!A2:A356)=Dashboard!O4)*(INT((DAY('Data Entry'!A2:A356)-1)/7)+1=Dashboard!M4)*('Data Entry'!D2:D356=A18)*1),IF(Dashboard!B4="Monthly",SUMPRODUCT((MONTH('Data Entry'!A2:A356)=Dashboard!N4)*(YEAR('Data Entry'!A2:A356)=Dashboard!O4)*('Data Entry'!D2:D356=A18)*1),COUNTIF('Data Entry'!D2:D356,A18)))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IF(Dashboard!B4="Weekly",SUMPRODUCT((MONTH('Data Entry'!A2:A356)=Dashboard!N4)*(YEAR('Data Entry'!A2:A356)=Dashboard!O4)*(INT((DAY('Data Entry'!A2:A356)-1)/7)+1=Dashboard!M4)*('Data Entry'!D2:D356=A19)*1),IF(Dashboard!B4="Monthly",SUMPRODUCT((MONTH('Data Entry'!A2:A356)=Dashboard!N4)*(YEAR('Data Entry'!A2:A356)=Dashboard!O4)*('Data Entry'!D2:D356=A19)*1),COUNTIF('Data Entry'!D2:D356,A19)))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IF(Dashboard!B4="Weekly",SUMPRODUCT((MONTH('Data Entry'!A2:A356)=Dashboard!N4)*(YEAR('Data Entry'!A2:A356)=Dashboard!O4)*(INT((DAY('Data Entry'!A2:A356)-1)/7)+1=Dashboard!M4)*('Data Entry'!D2:D356=A20)*1),IF(Dashboard!B4="Monthly",SUMPRODUCT((MONTH('Data Entry'!A2:A356)=Dashboard!N4)*(YEAR('Data Entry'!A2:A356)=Dashboard!O4)*('Data Entry'!D2:D356=A20)*1),COUNTIF('Data Entry'!D2:D356,A20)))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IF(Dashboard!B4="Weekly",SUMPRODUCT((MONTH('Data Entry'!A2:A356)=Dashboard!N4)*(YEAR('Data Entry'!A2:A356)=Dashboard!O4)*(INT((DAY('Data Entry'!A2:A356)-1)/7)+1=Dashboard!M4)*('Data Entry'!D2:D356=A21)*1),IF(Dashboard!B4="Monthly",SUMPRODUCT((MONTH('Data Entry'!A2:A356)=Dashboard!N4)*(YEAR('Data Entry'!A2:A356)=Dashboard!O4)*('Data Entry'!D2:D356=A21)*1),COUNTIF('Data Entry'!D2:D356,A21)))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IF(Dashboard!B4="Weekly",SUMPRODUCT((MONTH('Data Entry'!A2:A356)=Dashboard!N4)*(YEAR('Data Entry'!A2:A356)=Dashboard!O4)*(INT((DAY('Data Entry'!A2:A356)-1)/7)+1=Dashboard!M4)*('Data Entry'!D2:D356=A22)*1),IF(Dashboard!B4="Monthly",SUMPRODUCT((MONTH('Data Entry'!A2:A356)=Dashboard!N4)*(YEAR('Data Entry'!A2:A356)=Dashboard!O4)*('Data Entry'!D2:D356=A22)*1),COUNTIF('Data Entry'!D2:D356,A22)))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IF(Dashboard!B4="Weekly",SUMPRODUCT((MONTH('Data Entry'!A2:A356)=Dashboard!N4)*(YEAR('Data Entry'!A2:A356)=Dashboard!O4)*(INT((DAY('Data Entry'!A2:A356)-1)/7)+1=Dashboard!M4)*('Data Entry'!D2:D356=A23)*1),IF(Dashboard!B4="Monthly",SUMPRODUCT((MONTH('Data Entry'!A2:A356)=Dashboard!N4)*(YEAR('Data Entry'!A2:A356)=Dashboard!O4)*('Data Entry'!D2:D356=A23)*1),COUNTIF('Data Entry'!D2:D356,A23)))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IF(Dashboard!B4="Weekly",SUMPRODUCT((MONTH('Data Entry'!A2:A356)=Dashboard!N4)*(YEAR('Data Entry'!A2:A356)=Dashboard!O4)*(INT((DAY('Data Entry'!A2:A356)-1)/7)+1=Dashboard!M4)*('Data Entry'!D2:D356=A24)*1),IF(Dashboard!B4="Monthly",SUMPRODUCT((MONTH('Data Entry'!A2:A356)=Dashboard!N4)*(YEAR('Data Entry'!A2:A356)=Dashboard!O4)*('Data Entry'!D2:D356=A24)*1),COUNTIF('Data Entry'!D2:D356,A24)))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Dashboard!B4="Weekly",SUMPRODUCT((TEXT(MedicalData[Date],"MMM-YY")=Dashboard!E4)*(INT((DAY(MedicalData[Date])-1)/7)+1=VALUE(RIGHT(Dashboard!H4,1)))*(MedicalData[Site]=A6)*1),IF(Dashboard!B4="Monthly",COUNTIFS(MedicalData[Site],A6,MedicalData[Month],Dashboard!E4),IF(Dashboard!B4="Quarterly",COUNTIFS(MedicalData[Site],A6,MedicalData[Quarter],Dashboard!K4),COUNTIF(MedicalData[Site],A6))))</f>
        <v/>
      </c>
      <c r="D6" t="inlineStr">
        <is>
          <t>0-12 years</t>
        </is>
      </c>
      <c r="E6">
        <f>IF(Dashboard!B4="Monthly",COUNTIFS(MedicalData[Age],"&gt;=0",MedicalData[Age],"&lt;=12",MedicalData[Month],Dashboard!E4),IF(Dashboard!B4="Quarterly",COUNTIFS(MedicalData[Age],"&gt;=0",MedicalData[Age],"&lt;=12",MedicalData[Quarter],Dashboard!K4),COUNTIFS(MedicalData[Age],"&gt;=0",MedicalData[Age],"&lt;=12")))</f>
        <v/>
      </c>
    </row>
    <row r="7">
      <c r="A7" t="inlineStr">
        <is>
          <t xml:space="preserve">5 A side </t>
        </is>
      </c>
      <c r="B7">
        <f>IF(Dashboard!B4="Weekly",SUMPRODUCT((TEXT(MedicalData[Date],"MMM-YY")=Dashboard!E4)*(INT((DAY(MedicalData[Date])-1)/7)+1=VALUE(RIGHT(Dashboard!H4,1)))*(MedicalData[Site]=A7)*1),IF(Dashboard!B4="Monthly",COUNTIFS(MedicalData[Site],A7,MedicalData[Month],Dashboard!E4),IF(Dashboard!B4="Quarterly",COUNTIFS(MedicalData[Site],A7,MedicalData[Quarter],Dashboard!K4),COUNTIF(MedicalData[Site],A7))))</f>
        <v/>
      </c>
      <c r="D7" t="inlineStr">
        <is>
          <t>13-17 years</t>
        </is>
      </c>
      <c r="E7">
        <f>IF(Dashboard!B4="Monthly",COUNTIFS(MedicalData[Age],"&gt;=13",MedicalData[Age],"&lt;=17",MedicalData[Month],Dashboard!E4),IF(Dashboard!B4="Quarterly",COUNTIFS(MedicalData[Age],"&gt;=13",MedicalData[Age],"&lt;=17",MedicalData[Quarter],Dashboard!K4),COUNTIFS(MedicalData[Age],"&gt;=13",MedicalData[Age],"&lt;=17")))</f>
        <v/>
      </c>
    </row>
    <row r="8">
      <c r="A8" t="inlineStr">
        <is>
          <t>Basketball</t>
        </is>
      </c>
      <c r="B8">
        <f>IF(Dashboard!B4="Weekly",SUMPRODUCT((TEXT(MedicalData[Date],"MMM-YY")=Dashboard!E4)*(INT((DAY(MedicalData[Date])-1)/7)+1=VALUE(RIGHT(Dashboard!H4,1)))*(MedicalData[Site]=A8)*1),IF(Dashboard!B4="Monthly",COUNTIFS(MedicalData[Site],A8,MedicalData[Month],Dashboard!E4),IF(Dashboard!B4="Quarterly",COUNTIFS(MedicalData[Site],A8,MedicalData[Quarter],Dashboard!K4),COUNTIF(MedicalData[Site],A8))))</f>
        <v/>
      </c>
      <c r="D8" t="inlineStr">
        <is>
          <t>18-25 years</t>
        </is>
      </c>
      <c r="E8">
        <f>IF(Dashboard!B4="Monthly",COUNTIFS(MedicalData[Age],"&gt;=18",MedicalData[Age],"&lt;=25",MedicalData[Month],Dashboard!E4),IF(Dashboard!B4="Quarterly",COUNTIFS(MedicalData[Age],"&gt;=18",MedicalData[Age],"&lt;=25",MedicalData[Quarter],Dashboard!K4),COUNTIFS(MedicalData[Age],"&gt;=18",MedicalData[Age],"&lt;=25")))</f>
        <v/>
      </c>
    </row>
    <row r="9">
      <c r="A9" t="inlineStr">
        <is>
          <t>Outdoor gym</t>
        </is>
      </c>
      <c r="B9">
        <f>IF(Dashboard!B4="Weekly",SUMPRODUCT((TEXT(MedicalData[Date],"MMM-YY")=Dashboard!E4)*(INT((DAY(MedicalData[Date])-1)/7)+1=VALUE(RIGHT(Dashboard!H4,1)))*(MedicalData[Site]=A9)*1),IF(Dashboard!B4="Monthly",COUNTIFS(MedicalData[Site],A9,MedicalData[Month],Dashboard!E4),IF(Dashboard!B4="Quarterly",COUNTIFS(MedicalData[Site],A9,MedicalData[Quarter],Dashboard!K4),COUNTIF(MedicalData[Site],A9))))</f>
        <v/>
      </c>
      <c r="D9" t="inlineStr">
        <is>
          <t>26-35 years</t>
        </is>
      </c>
      <c r="E9">
        <f>IF(Dashboard!B4="Monthly",COUNTIFS(MedicalData[Age],"&gt;=26",MedicalData[Age],"&lt;=35",MedicalData[Month],Dashboard!E4),IF(Dashboard!B4="Quarterly",COUNTIFS(MedicalData[Age],"&gt;=26",MedicalData[Age],"&lt;=35",MedicalData[Quarter],Dashboard!K4),COUNTIFS(MedicalData[Age],"&gt;=26",MedicalData[Age],"&lt;=35")))</f>
        <v/>
      </c>
    </row>
    <row r="10">
      <c r="A10" t="inlineStr">
        <is>
          <t xml:space="preserve">JDI Studio </t>
        </is>
      </c>
      <c r="B10">
        <f>IF(Dashboard!B4="Weekly",SUMPRODUCT((TEXT(MedicalData[Date],"MMM-YY")=Dashboard!E4)*(INT((DAY(MedicalData[Date])-1)/7)+1=VALUE(RIGHT(Dashboard!H4,1)))*(MedicalData[Site]=A10)*1),IF(Dashboard!B4="Monthly",COUNTIFS(MedicalData[Site],A10,MedicalData[Month],Dashboard!E4),IF(Dashboard!B4="Quarterly",COUNTIFS(MedicalData[Site],A10,MedicalData[Quarter],Dashboard!K4),COUNTIF(MedicalData[Site],A10))))</f>
        <v/>
      </c>
      <c r="D10" t="inlineStr">
        <is>
          <t>36+ years</t>
        </is>
      </c>
      <c r="E10">
        <f>IF(Dashboard!B4="Monthly",COUNTIFS(MedicalData[Age],"&gt;=36",MedicalData[Month],Dashboard!E4),IF(Dashboard!B4="Quarterly",COUNTIFS(MedicalData[Age],"&gt;=36",MedicalData[Quarter],Dashboard!K4),COUNTIFS(MedicalData[Age],"&gt;=36")))</f>
        <v/>
      </c>
    </row>
    <row r="11">
      <c r="A11" t="inlineStr">
        <is>
          <t xml:space="preserve">11- A side </t>
        </is>
      </c>
      <c r="B11">
        <f>IF(Dashboard!B4="Weekly",SUMPRODUCT((TEXT(MedicalData[Date],"MMM-YY")=Dashboard!E4)*(INT((DAY(MedicalData[Date])-1)/7)+1=VALUE(RIGHT(Dashboard!H4,1)))*(MedicalData[Site]=A11)*1),IF(Dashboard!B4="Monthly",COUNTIFS(MedicalData[Site],A11,MedicalData[Month],Dashboard!E4),IF(Dashboard!B4="Quarterly",COUNTIFS(MedicalData[Site],A11,MedicalData[Quarter],Dashboard!K4),COUNTIF(MedicalData[Site],A11))))</f>
        <v/>
      </c>
    </row>
    <row r="12">
      <c r="A12" t="inlineStr">
        <is>
          <t>Athletics track</t>
        </is>
      </c>
      <c r="B12">
        <f>IF(Dashboard!B4="Weekly",SUMPRODUCT((TEXT(MedicalData[Date],"MMM-YY")=Dashboard!E4)*(INT((DAY(MedicalData[Date])-1)/7)+1=VALUE(RIGHT(Dashboard!H4,1)))*(MedicalData[Site]=A12)*1),IF(Dashboard!B4="Monthly",COUNTIFS(MedicalData[Site],A12,MedicalData[Month],Dashboard!E4),IF(Dashboard!B4="Quarterly",COUNTIFS(MedicalData[Site],A12,MedicalData[Quarter],Dashboard!K4),COUNTIF(MedicalData[Site],A12))))</f>
        <v/>
      </c>
    </row>
    <row r="13">
      <c r="A13" t="inlineStr">
        <is>
          <t>Change Rooms</t>
        </is>
      </c>
      <c r="B13">
        <f>IF(Dashboard!B4="Weekly",SUMPRODUCT((TEXT(MedicalData[Date],"MMM-YY")=Dashboard!E4)*(INT((DAY(MedicalData[Date])-1)/7)+1=VALUE(RIGHT(Dashboard!H4,1)))*(MedicalData[Site]=A13)*1),IF(Dashboard!B4="Monthly",COUNTIFS(MedicalData[Site],A13,MedicalData[Month],Dashboard!E4),IF(Dashboard!B4="Quarterly",COUNTIFS(MedicalData[Site],A13,MedicalData[Quarter],Dashboard!K4),COUNTIF(MedicalData[Site],A13))))</f>
        <v/>
      </c>
    </row>
    <row r="14">
      <c r="A14" t="inlineStr">
        <is>
          <t>1KM RUN/WALK PATH</t>
        </is>
      </c>
      <c r="B14">
        <f>IF(Dashboard!B4="Weekly",SUMPRODUCT((TEXT(MedicalData[Date],"MMM-YY")=Dashboard!E4)*(INT((DAY(MedicalData[Date])-1)/7)+1=VALUE(RIGHT(Dashboard!H4,1)))*(MedicalData[Site]=A14)*1),IF(Dashboard!B4="Monthly",COUNTIFS(MedicalData[Site],A14,MedicalData[Month],Dashboard!E4),IF(Dashboard!B4="Quarterly",COUNTIFS(MedicalData[Site],A14,MedicalData[Quarter],Dashboard!K4),COUNTIF(MedicalData[Site]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IF(Dashboard!B4="Monthly",COUNTIFS(MedicalData[History/Mechanism of injury],A20,MedicalData[Month],Dashboard!E4),IF(Dashboard!B4="Quarterly",COUNTIFS(MedicalData[History/Mechanism of injury],A20,MedicalData[Quarter],Dashboard!K4),COUNTIF(MedicalData[History/Mechanism of injury],A20)))</f>
        <v/>
      </c>
      <c r="D20" t="inlineStr">
        <is>
          <t>Morning</t>
        </is>
      </c>
      <c r="E20">
        <f>IF(Dashboard!B4="Monthly",COUNTIFS(MedicalData[Time Period],D20,MedicalData[Month],Dashboard!E4),IF(Dashboard!B4="Quarterly",COUNTIFS(MedicalData[Time Period],D20,MedicalData[Quarter],Dashboard!K4),COUNTIF(MedicalData[Time Period],D20)))</f>
        <v/>
      </c>
    </row>
    <row r="21">
      <c r="A21" t="inlineStr">
        <is>
          <t>Slips, Trips and falls</t>
        </is>
      </c>
      <c r="B21">
        <f>IF(Dashboard!B4="Monthly",COUNTIFS(MedicalData[History/Mechanism of injury],A21,MedicalData[Month],Dashboard!E4),IF(Dashboard!B4="Quarterly",COUNTIFS(MedicalData[History/Mechanism of injury],A21,MedicalData[Quarter],Dashboard!K4),COUNTIF(MedicalData[History/Mechanism of injury],A21)))</f>
        <v/>
      </c>
      <c r="D21" t="inlineStr">
        <is>
          <t>Afternoon</t>
        </is>
      </c>
      <c r="E21">
        <f>IF(Dashboard!B4="Monthly",COUNTIFS(MedicalData[Time Period],D21,MedicalData[Month],Dashboard!E4),IF(Dashboard!B4="Quarterly",COUNTIFS(MedicalData[Time Period],D21,MedicalData[Quarter],Dashboard!K4),COUNTIF(MedicalData[Time Period],D21)))</f>
        <v/>
      </c>
    </row>
    <row r="22">
      <c r="A22" t="inlineStr">
        <is>
          <t>Muscle Strains</t>
        </is>
      </c>
      <c r="B22">
        <f>IF(Dashboard!B4="Monthly",COUNTIFS(MedicalData[History/Mechanism of injury],A22,MedicalData[Month],Dashboard!E4),IF(Dashboard!B4="Quarterly",COUNTIFS(MedicalData[History/Mechanism of injury],A22,MedicalData[Quarter],Dashboard!K4),COUNTIF(MedicalData[History/Mechanism of injury],A22)))</f>
        <v/>
      </c>
      <c r="D22" t="inlineStr">
        <is>
          <t>Evening</t>
        </is>
      </c>
      <c r="E22">
        <f>IF(Dashboard!B4="Monthly",COUNTIFS(MedicalData[Time Period],D22,MedicalData[Month],Dashboard!E4),IF(Dashboard!B4="Quarterly",COUNTIFS(MedicalData[Time Period],D22,MedicalData[Quarter],Dashboard!K4),COUNTIF(MedicalData[Time Period],D22)))</f>
        <v/>
      </c>
    </row>
    <row r="23">
      <c r="A23" t="inlineStr">
        <is>
          <t>Struck by Equipment</t>
        </is>
      </c>
      <c r="B23">
        <f>IF(Dashboard!B4="Monthly",COUNTIFS(MedicalData[History/Mechanism of injury],A23,MedicalData[Month],Dashboard!E4),IF(Dashboard!B4="Quarterly",COUNTIFS(MedicalData[History/Mechanism of injury],A23,MedicalData[Quarter],Dashboard!K4),COUNTIF(MedicalData[History/Mechanism of injury],A23)))</f>
        <v/>
      </c>
      <c r="D23" t="inlineStr">
        <is>
          <t>Night</t>
        </is>
      </c>
      <c r="E23">
        <f>IF(Dashboard!B4="Monthly",COUNTIFS(MedicalData[Time Period],D23,MedicalData[Month],Dashboard!E4),IF(Dashboard!B4="Quarterly",COUNTIFS(MedicalData[Time Period],D23,MedicalData[Quarter],Dashboard!K4),COUNTIF(MedicalData[Time Period],D23)))</f>
        <v/>
      </c>
    </row>
    <row r="24">
      <c r="A24" t="inlineStr">
        <is>
          <t>Player-to-Object</t>
        </is>
      </c>
      <c r="B24">
        <f>IF(Dashboard!B4="Monthly",COUNTIFS(MedicalData[History/Mechanism of injury],A24,MedicalData[Month],Dashboard!E4),IF(Dashboard!B4="Quarterly",COUNTIFS(MedicalData[History/Mechanism of injury],A24,MedicalData[Quarter],Dashboard!K4),COUNTIF(MedicalData[History/Mechanism of injury],A24)))</f>
        <v/>
      </c>
    </row>
    <row r="25">
      <c r="A25" t="inlineStr">
        <is>
          <t>Medical</t>
        </is>
      </c>
      <c r="B25">
        <f>IF(Dashboard!B4="Monthly",COUNTIFS(MedicalData[History/Mechanism of injury],A25,MedicalData[Month],Dashboard!E4),IF(Dashboard!B4="Quarterly",COUNTIFS(MedicalData[History/Mechanism of injury],A25,MedicalData[Quarter],Dashboard!K4),COUNTIF(MedicalData[History/Mechanism of injury],A25)))</f>
        <v/>
      </c>
    </row>
    <row r="26">
      <c r="A26" t="inlineStr">
        <is>
          <t>Heat-Related</t>
        </is>
      </c>
      <c r="B26">
        <f>IF(Dashboard!B4="Monthly",COUNTIFS(MedicalData[History/Mechanism of injury],A26,MedicalData[Month],Dashboard!E4),IF(Dashboard!B4="Quarterly",COUNTIFS(MedicalData[History/Mechanism of injury],A26,MedicalData[Quarter],Dashboard!K4),COUNTIF(MedicalData[History/Mechanism of injury],A26)))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2025-12-04T11:25:10Z</dcterms:modified>
  <cp:lastModifiedBy>stephen tapala</cp:lastModifiedBy>
</cp:coreProperties>
</file>