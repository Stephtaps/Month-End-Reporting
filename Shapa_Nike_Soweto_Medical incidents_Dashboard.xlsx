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45" t="n"/>
      <c r="N4" s="45" t="n"/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edicalData[Month]=E4)*((WEEKNUM(MedicalData[Date])-WEEKNUM(DATE(YEAR(MedicalData[Date]),MONTH(MedicalData[Date]),1))+1)=VALUE(RIGHT(H4,1)))*1),IF(B4="Monthly",COUNTIF(MedicalData[Month],E4),IF(B4="Quarterly",COUNTIF(MedicalData[Quarter],K4),COUNTA(MedicalData[Date]))))</f>
        <v/>
      </c>
      <c r="F7" s="45" t="n"/>
      <c r="G7" s="54" t="inlineStr">
        <is>
          <t>Ambulance</t>
        </is>
      </c>
      <c r="H7" s="56">
        <f>IF(B4="Weekly",SUMPRODUCT((MedicalData[Month]=E4)*((WEEKNUM(MedicalData[Date])-WEEKNUM(DATE(YEAR(MedicalData[Date]),MONTH(MedicalData[Date]),1))+1)=VALUE(RIGHT(H4,1)))*(MedicalData[Hospital Transportation]="Yes")*1),IF(B4="Monthly",COUNTIFS(MedicalData[Month],E4,MedicalData[Hospital Transportation],"Yes"),IF(B4="Quarterly",COUNTIFS(MedicalData[Quarter],K4,MedicalData[Hospital Transportation],"Yes"),COUNTIF(MedicalData[Hospital Transportation],"Yes"))))</f>
        <v/>
      </c>
      <c r="I7" s="45" t="n"/>
      <c r="J7" s="54" t="inlineStr">
        <is>
          <t>Avg Age</t>
        </is>
      </c>
      <c r="K7" s="56">
        <f>IFERROR(ROUND(IF(B4="Weekly",AVERAGEIF(MedicalData[Month],E4,MedicalData[Age]),IF(B4="Monthly",AVERAGEIF(MedicalData[Month],E4,MedicalData[Age]),IF(B4="Quarterly",AVERAGEIF(MedicalData[Quarter],K4,MedicalData[Age]),AVERAGE(MedicalData[Age])))),0),"-")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IF(B4="Weekly","Day 1",IF(B4="Monthly","Week 1",IF(B4="Quarterly",IF(1&gt;3,"",INDEX({"Jan","Feb","Mar","Apr","May","Jun","Jul","Aug","Sep","Oct","Nov","Dec"},(VALUE(RIGHT(K4,1))-1)*3+1)),"1")))</f>
        <v/>
      </c>
      <c r="B91">
        <f>IF(B4="Weekly",
SUMPRODUCT((TEXT(MedicalData[Date],"MMM-YY")=E4)*(WEEKDAY(MedicalData[Date],2)=1)*(INT((DAY(MedicalData[Date])-1)/7)+1=VALUE(RIGHT(H4,1)))*1),
IF(B4="Monthly",
SUMPRODUCT((TEXT(MedicalData[Date],"MMM-YY")=E4)*(INT((DAY(MedicalData[Date])-1)/7)+1=1)*1),
IF(B4="Quarterly",
IF(1&gt;3,"",COUNTIF(MedicalData[Quarter],K4)),
"")))</f>
        <v/>
      </c>
      <c r="C91">
        <f>IF(B4="Weekly",
SUMPRODUCT((TEXT(MedicalData[Date],"MMM-YY")=E4)*(WEEKDAY(MedicalData[Date],2)=1)*(INT((DAY(MedicalData[Date])-1)/7)+1=VALUE(RIGHT(H4,1)))*(MedicalData[Hospital Transportation]="Yes")*1),
IF(B4="Monthly",
SUMPRODUCT((TEXT(MedicalData[Date],"MMM-YY")=E4)*(INT((DAY(MedicalData[Date])-1)/7)+1=1)*(MedicalData[Hospital Transportation]="Yes")*1),
IF(B4="Quarterly",
IF(1&gt;3,"",COUNTIFS(MedicalData[Quarter],K4,MedicalData[Hospital Transportation],"Yes")),
"")))</f>
        <v/>
      </c>
      <c r="D91">
        <f>IF(OR(B91=0,B91=""),"-",IFERROR(ROUND(AVERAGEIF(MedicalData[Month],E4,MedicalData[Age]),0),"-"))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IF(B4="Weekly","Day 2",IF(B4="Monthly","Week 2",IF(B4="Quarterly",IF(2&gt;3,"",INDEX({"Jan","Feb","Mar","Apr","May","Jun","Jul","Aug","Sep","Oct","Nov","Dec"},(VALUE(RIGHT(K4,1))-1)*3+2)),"2")))</f>
        <v/>
      </c>
      <c r="B92">
        <f>IF(B4="Weekly",
SUMPRODUCT((TEXT(MedicalData[Date],"MMM-YY")=E4)*(WEEKDAY(MedicalData[Date],2)=2)*(INT((DAY(MedicalData[Date])-1)/7)+1=VALUE(RIGHT(H4,1)))*1),
IF(B4="Monthly",
SUMPRODUCT((TEXT(MedicalData[Date],"MMM-YY")=E4)*(INT((DAY(MedicalData[Date])-1)/7)+1=2)*1),
IF(B4="Quarterly",
IF(2&gt;3,"",COUNTIF(MedicalData[Quarter],K4)),
"")))</f>
        <v/>
      </c>
      <c r="C92">
        <f>IF(B4="Weekly",
SUMPRODUCT((TEXT(MedicalData[Date],"MMM-YY")=E4)*(WEEKDAY(MedicalData[Date],2)=2)*(INT((DAY(MedicalData[Date])-1)/7)+1=VALUE(RIGHT(H4,1)))*(MedicalData[Hospital Transportation]="Yes")*1),
IF(B4="Monthly",
SUMPRODUCT((TEXT(MedicalData[Date],"MMM-YY")=E4)*(INT((DAY(MedicalData[Date])-1)/7)+1=2)*(MedicalData[Hospital Transportation]="Yes")*1),
IF(B4="Quarterly",
IF(2&gt;3,"",COUNTIFS(MedicalData[Quarter],K4,MedicalData[Hospital Transportation],"Yes")),
"")))</f>
        <v/>
      </c>
      <c r="D92">
        <f>IF(OR(B92=0,B92=""),"-",IFERROR(ROUND(AVERAGEIF(MedicalData[Month],E4,MedicalData[Age]),0),"-"))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IF(B4="Weekly","Day 3",IF(B4="Monthly","Week 3",IF(B4="Quarterly",IF(3&gt;3,"",INDEX({"Jan","Feb","Mar","Apr","May","Jun","Jul","Aug","Sep","Oct","Nov","Dec"},(VALUE(RIGHT(K4,1))-1)*3+3)),"3")))</f>
        <v/>
      </c>
      <c r="B93">
        <f>IF(B4="Weekly",
SUMPRODUCT((TEXT(MedicalData[Date],"MMM-YY")=E4)*(WEEKDAY(MedicalData[Date],2)=3)*(INT((DAY(MedicalData[Date])-1)/7)+1=VALUE(RIGHT(H4,1)))*1),
IF(B4="Monthly",
SUMPRODUCT((TEXT(MedicalData[Date],"MMM-YY")=E4)*(INT((DAY(MedicalData[Date])-1)/7)+1=3)*1),
IF(B4="Quarterly",
IF(3&gt;3,"",COUNTIF(MedicalData[Quarter],K4)),
"")))</f>
        <v/>
      </c>
      <c r="C93">
        <f>IF(B4="Weekly",
SUMPRODUCT((TEXT(MedicalData[Date],"MMM-YY")=E4)*(WEEKDAY(MedicalData[Date],2)=3)*(INT((DAY(MedicalData[Date])-1)/7)+1=VALUE(RIGHT(H4,1)))*(MedicalData[Hospital Transportation]="Yes")*1),
IF(B4="Monthly",
SUMPRODUCT((TEXT(MedicalData[Date],"MMM-YY")=E4)*(INT((DAY(MedicalData[Date])-1)/7)+1=3)*(MedicalData[Hospital Transportation]="Yes")*1),
IF(B4="Quarterly",
IF(3&gt;3,"",COUNTIFS(MedicalData[Quarter],K4,MedicalData[Hospital Transportation],"Yes")),
"")))</f>
        <v/>
      </c>
      <c r="D93">
        <f>IF(OR(B93=0,B93=""),"-",IFERROR(ROUND(AVERAGEIF(MedicalData[Month],E4,MedicalData[Age]),0),"-"))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IF(B4="Weekly","Day 4",IF(B4="Monthly","Week 4",IF(B4="Quarterly",IF(4&gt;3,"",INDEX({"Jan","Feb","Mar","Apr","May","Jun","Jul","Aug","Sep","Oct","Nov","Dec"},(VALUE(RIGHT(K4,1))-1)*3+4)),"4")))</f>
        <v/>
      </c>
      <c r="B94">
        <f>IF(B4="Weekly",
SUMPRODUCT((TEXT(MedicalData[Date],"MMM-YY")=E4)*(WEEKDAY(MedicalData[Date],2)=4)*(INT((DAY(MedicalData[Date])-1)/7)+1=VALUE(RIGHT(H4,1)))*1),
IF(B4="Monthly",
SUMPRODUCT((TEXT(MedicalData[Date],"MMM-YY")=E4)*(INT((DAY(MedicalData[Date])-1)/7)+1=4)*1),
IF(B4="Quarterly",
IF(4&gt;3,"",COUNTIF(MedicalData[Quarter],K4)),
"")))</f>
        <v/>
      </c>
      <c r="C94">
        <f>IF(B4="Weekly",
SUMPRODUCT((TEXT(MedicalData[Date],"MMM-YY")=E4)*(WEEKDAY(MedicalData[Date],2)=4)*(INT((DAY(MedicalData[Date])-1)/7)+1=VALUE(RIGHT(H4,1)))*(MedicalData[Hospital Transportation]="Yes")*1),
IF(B4="Monthly",
SUMPRODUCT((TEXT(MedicalData[Date],"MMM-YY")=E4)*(INT((DAY(MedicalData[Date])-1)/7)+1=4)*(MedicalData[Hospital Transportation]="Yes")*1),
IF(B4="Quarterly",
IF(4&gt;3,"",COUNTIFS(MedicalData[Quarter],K4,MedicalData[Hospital Transportation],"Yes")),
"")))</f>
        <v/>
      </c>
      <c r="D94">
        <f>IF(OR(B94=0,B94=""),"-",IFERROR(ROUND(AVERAGEIF(MedicalData[Month],E4,MedicalData[Age]),0),"-"))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IF(B4="Weekly","Day 5",IF(B4="Monthly","Week 5",IF(B4="Quarterly",IF(5&gt;3,"",INDEX({"Jan","Feb","Mar","Apr","May","Jun","Jul","Aug","Sep","Oct","Nov","Dec"},(VALUE(RIGHT(K4,1))-1)*3+5)),"5")))</f>
        <v/>
      </c>
      <c r="B95">
        <f>IF(B4="Weekly",
SUMPRODUCT((TEXT(MedicalData[Date],"MMM-YY")=E4)*(WEEKDAY(MedicalData[Date],2)=5)*(INT((DAY(MedicalData[Date])-1)/7)+1=VALUE(RIGHT(H4,1)))*1),
IF(B4="Monthly",
SUMPRODUCT((TEXT(MedicalData[Date],"MMM-YY")=E4)*(INT((DAY(MedicalData[Date])-1)/7)+1=5)*1),
IF(B4="Quarterly",
IF(5&gt;3,"",COUNTIF(MedicalData[Quarter],K4)),
"")))</f>
        <v/>
      </c>
      <c r="C95">
        <f>IF(B4="Weekly",
SUMPRODUCT((TEXT(MedicalData[Date],"MMM-YY")=E4)*(WEEKDAY(MedicalData[Date],2)=5)*(INT((DAY(MedicalData[Date])-1)/7)+1=VALUE(RIGHT(H4,1)))*(MedicalData[Hospital Transportation]="Yes")*1),
IF(B4="Monthly",
SUMPRODUCT((TEXT(MedicalData[Date],"MMM-YY")=E4)*(INT((DAY(MedicalData[Date])-1)/7)+1=5)*(MedicalData[Hospital Transportation]="Yes")*1),
IF(B4="Quarterly",
IF(5&gt;3,"",COUNTIFS(MedicalData[Quarter],K4,MedicalData[Hospital Transportation],"Yes")),
"")))</f>
        <v/>
      </c>
      <c r="D95">
        <f>IF(OR(B95=0,B95=""),"-",IFERROR(ROUND(AVERAGEIF(MedicalData[Month],E4,MedicalData[Age]),0),"-"))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IF(Dashboard!B4="Monthly",COUNTIFS(MedicalData[Site],A4,MedicalData[Month],Dashboard!E4),IF(Dashboard!B4="Quarterly",COUNTIFS(MedicalData[Site],A4,MedicalData[Quarter],Dashboard!K4),COUNTIF(MedicalData[Site],A4)))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IF(Dashboard!B4="Monthly",COUNTIFS(MedicalData[Site],A5,MedicalData[Month],Dashboard!E4),IF(Dashboard!B4="Quarterly",COUNTIFS(MedicalData[Site],A5,MedicalData[Quarter],Dashboard!K4),COUNTIF(MedicalData[Site],A5)))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IF(Dashboard!B4="Monthly",COUNTIFS(MedicalData[Site],A6,MedicalData[Month],Dashboard!E4),IF(Dashboard!B4="Quarterly",COUNTIFS(MedicalData[Site],A6,MedicalData[Quarter],Dashboard!K4),COUNTIF(MedicalData[Site],A6)))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IF(Dashboard!B4="Monthly",COUNTIFS(MedicalData[Site],A7,MedicalData[Month],Dashboard!E4),IF(Dashboard!B4="Quarterly",COUNTIFS(MedicalData[Site],A7,MedicalData[Quarter],Dashboard!K4),COUNTIF(MedicalData[Site],A7)))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IF(Dashboard!B4="Monthly",COUNTIFS(MedicalData[Site],A8,MedicalData[Month],Dashboard!E4),IF(Dashboard!B4="Quarterly",COUNTIFS(MedicalData[Site],A8,MedicalData[Quarter],Dashboard!K4),COUNTIF(MedicalData[Site],A8)))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IF(Dashboard!B4="Monthly",COUNTIFS(MedicalData[Site],A9,MedicalData[Month],Dashboard!E4),IF(Dashboard!B4="Quarterly",COUNTIFS(MedicalData[Site],A9,MedicalData[Quarter],Dashboard!K4),COUNTIF(MedicalData[Site],A9)))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IF(Dashboard!B4="Monthly",COUNTIFS(MedicalData[Site],A10,MedicalData[Month],Dashboard!E4),IF(Dashboard!B4="Quarterly",COUNTIFS(MedicalData[Site],A10,MedicalData[Quarter],Dashboard!K4),COUNTIF(MedicalData[Site],A10)))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IF(Dashboard!B4="Monthly",COUNTIFS(MedicalData[Site],A11,MedicalData[Month],Dashboard!E4),IF(Dashboard!B4="Quarterly",COUNTIFS(MedicalData[Site],A11,MedicalData[Quarter],Dashboard!K4),COUNTIF(MedicalData[Site],A11)))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IF(Dashboard!B4="Monthly",COUNTIFS(MedicalData[Site],A12,MedicalData[Month],Dashboard!E4),IF(Dashboard!B4="Quarterly",COUNTIFS(MedicalData[Site],A12,MedicalData[Quarter],Dashboard!K4),COUNTIF(MedicalData[Site],A12)))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IF(Dashboard!B4="Monthly",COUNTIFS(MedicalData[Site],A13,MedicalData[Month],Dashboard!E4),IF(Dashboard!B4="Quarterly",COUNTIFS(MedicalData[Site],A13,MedicalData[Quarter],Dashboard!K4),COUNTIF(MedicalData[Site],A13)))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IF(Dashboard!B4="Monthly",COUNTIFS(MedicalData[Site],A14,MedicalData[Month],Dashboard!E4),IF(Dashboard!B4="Quarterly",COUNTIFS(MedicalData[Site],A14,MedicalData[Quarter],Dashboard!K4),COUNTIF(MedicalData[Site],A14)))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IF(Dashboard!B4="Monthly",COUNTIFS(MedicalData[Site],A15,MedicalData[Month],Dashboard!E4),IF(Dashboard!B4="Quarterly",COUNTIFS(MedicalData[Site],A15,MedicalData[Quarter],Dashboard!K4),COUNTIF(MedicalData[Site],A15)))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IF(Dashboard!B4="Monthly",COUNTIFS(MedicalData[Site],A16,MedicalData[Month],Dashboard!E4),IF(Dashboard!B4="Quarterly",COUNTIFS(MedicalData[Site],A16,MedicalData[Quarter],Dashboard!K4),COUNTIF(MedicalData[Site],A16)))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IF(Dashboard!B4="Monthly",COUNTIFS(MedicalData[Site],A17,MedicalData[Month],Dashboard!E4),IF(Dashboard!B4="Quarterly",COUNTIFS(MedicalData[Site],A17,MedicalData[Quarter],Dashboard!K4),COUNTIF(MedicalData[Site],A17)))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IF(Dashboard!B4="Monthly",COUNTIFS(MedicalData[Site],A18,MedicalData[Month],Dashboard!E4),IF(Dashboard!B4="Quarterly",COUNTIFS(MedicalData[Site],A18,MedicalData[Quarter],Dashboard!K4),COUNTIF(MedicalData[Site],A18)))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IF(Dashboard!B4="Monthly",COUNTIFS(MedicalData[Site],A19,MedicalData[Month],Dashboard!E4),IF(Dashboard!B4="Quarterly",COUNTIFS(MedicalData[Site],A19,MedicalData[Quarter],Dashboard!K4),COUNTIF(MedicalData[Site],A19)))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IF(Dashboard!B4="Monthly",COUNTIFS(MedicalData[Age],"&gt;=36",MedicalData[Month],Dashboard!E4),IF(Dashboard!B4="Quarterly",COUNTIFS(MedicalData[Age],"&gt;=36",MedicalData[Quarter],Dashboard!K4),COUNTIFS(MedicalData[Age],"&gt;=36")))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IF(Dashboard!B4="Monthly",COUNTIFS(MedicalData[History/Mechanism of injury],A4,MedicalData[Month],Dashboard!E4),IF(Dashboard!B4="Quarterly",COUNTIFS(MedicalData[History/Mechanism of injury],A4,MedicalData[Quarter],Dashboard!K4),COUNTIF(MedicalData[History/Mechanism of injury],A4)))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IF(Dashboard!B4="Monthly",COUNTIFS(MedicalData[History/Mechanism of injury],A5,MedicalData[Month],Dashboard!E4),IF(Dashboard!B4="Quarterly",COUNTIFS(MedicalData[History/Mechanism of injury],A5,MedicalData[Quarter],Dashboard!K4),COUNTIF(MedicalData[History/Mechanism of injury],A5)))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IF(Dashboard!B4="Monthly",COUNTIFS(MedicalData[History/Mechanism of injury],A6,MedicalData[Month],Dashboard!E4),IF(Dashboard!B4="Quarterly",COUNTIFS(MedicalData[History/Mechanism of injury],A6,MedicalData[Quarter],Dashboard!K4),COUNTIF(MedicalData[History/Mechanism of injury],A6)))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IF(Dashboard!B4="Monthly",COUNTIFS(MedicalData[History/Mechanism of injury],A7,MedicalData[Month],Dashboard!E4),IF(Dashboard!B4="Quarterly",COUNTIFS(MedicalData[History/Mechanism of injury],A7,MedicalData[Quarter],Dashboard!K4),COUNTIF(MedicalData[History/Mechanism of injury],A7)))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IF(Dashboard!B4="Monthly",COUNTIFS(MedicalData[History/Mechanism of injury],A8,MedicalData[Month],Dashboard!E4),IF(Dashboard!B4="Quarterly",COUNTIFS(MedicalData[History/Mechanism of injury],A8,MedicalData[Quarter],Dashboard!K4),COUNTIF(MedicalData[History/Mechanism of injury],A8)))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IF(Dashboard!B4="Monthly",COUNTIFS(MedicalData[History/Mechanism of injury],A9,MedicalData[Month],Dashboard!E4),IF(Dashboard!B4="Quarterly",COUNTIFS(MedicalData[History/Mechanism of injury],A9,MedicalData[Quarter],Dashboard!K4),COUNTIF(MedicalData[History/Mechanism of injury],A9)))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IF(Dashboard!B4="Monthly",COUNTIFS(MedicalData[History/Mechanism of injury],A10,MedicalData[Month],Dashboard!E4),IF(Dashboard!B4="Quarterly",COUNTIFS(MedicalData[History/Mechanism of injury],A10,MedicalData[Quarter],Dashboard!K4),COUNTIF(MedicalData[History/Mechanism of injury],A10)))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IF(Dashboard!B4="Monthly",COUNTIFS(MedicalData[History/Mechanism of injury],A11,MedicalData[Month],Dashboard!E4),IF(Dashboard!B4="Quarterly",COUNTIFS(MedicalData[History/Mechanism of injury],A11,MedicalData[Quarter],Dashboard!K4),COUNTIF(MedicalData[History/Mechanism of injury],A11)))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IF(Dashboard!B4="Monthly",COUNTIFS(MedicalData[History/Mechanism of injury],A12,MedicalData[Month],Dashboard!E4),IF(Dashboard!B4="Quarterly",COUNTIFS(MedicalData[History/Mechanism of injury],A12,MedicalData[Quarter],Dashboard!K4),COUNTIF(MedicalData[History/Mechanism of injury],A12)))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IF(Dashboard!B4="Monthly",COUNTIFS(MedicalData[History/Mechanism of injury],A13,MedicalData[Month],Dashboard!E4),IF(Dashboard!B4="Quarterly",COUNTIFS(MedicalData[History/Mechanism of injury],A13,MedicalData[Quarter],Dashboard!K4),COUNTIF(MedicalData[History/Mechanism of injury],A13)))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IF(Dashboard!B4="Monthly",COUNTIFS(MedicalData[History/Mechanism of injury],A14,MedicalData[Month],Dashboard!E4),IF(Dashboard!B4="Quarterly",COUNTIFS(MedicalData[History/Mechanism of injury],A14,MedicalData[Quarter],Dashboard!K4),COUNTIF(MedicalData[History/Mechanism of injury],A14)))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IF(Dashboard!B4="Monthly",COUNTIFS(MedicalData[History/Mechanism of injury],A15,MedicalData[Month],Dashboard!E4),IF(Dashboard!B4="Quarterly",COUNTIFS(MedicalData[History/Mechanism of injury],A15,MedicalData[Quarter],Dashboard!K4),COUNTIF(MedicalData[History/Mechanism of injury],A15)))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IF(Dashboard!B4="Monthly",COUNTIFS(MedicalData[History/Mechanism of injury],A16,MedicalData[Month],Dashboard!E4),IF(Dashboard!B4="Quarterly",COUNTIFS(MedicalData[History/Mechanism of injury],A16,MedicalData[Quarter],Dashboard!K4),COUNTIF(MedicalData[History/Mechanism of injury],A16)))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IF(Dashboard!B4="Monthly",COUNTIFS(MedicalData[History/Mechanism of injury],A17,MedicalData[Month],Dashboard!E4),IF(Dashboard!B4="Quarterly",COUNTIFS(MedicalData[History/Mechanism of injury],A17,MedicalData[Quarter],Dashboard!K4),COUNTIF(MedicalData[History/Mechanism of injury],A17)))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IF(Dashboard!B4="Monthly",COUNTIFS(MedicalData[History/Mechanism of injury],A18,MedicalData[Month],Dashboard!E4),IF(Dashboard!B4="Quarterly",COUNTIFS(MedicalData[History/Mechanism of injury],A18,MedicalData[Quarter],Dashboard!K4),COUNTIF(MedicalData[History/Mechanism of injury],A18)))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IF(Dashboard!B4="Monthly",COUNTIFS(MedicalData[History/Mechanism of injury],A19,MedicalData[Month],Dashboard!E4),IF(Dashboard!B4="Quarterly",COUNTIFS(MedicalData[History/Mechanism of injury],A19,MedicalData[Quarter],Dashboard!K4),COUNTIF(MedicalData[History/Mechanism of injury],A19)))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IF(Dashboard!B4="Monthly",COUNTIFS(MedicalData[Time Period],A4,MedicalData[Month],Dashboard!E4),IF(Dashboard!B4="Quarterly",COUNTIFS(MedicalData[Time Period],A4,MedicalData[Quarter],Dashboard!K4),COUNTIF(MedicalData[Time Period],A4)))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IF(Dashboard!B4="Monthly",COUNTIFS(MedicalData[Time Period],A5,MedicalData[Month],Dashboard!E4),IF(Dashboard!B4="Quarterly",COUNTIFS(MedicalData[Time Period],A5,MedicalData[Quarter],Dashboard!K4),COUNTIF(MedicalData[Time Period],A5)))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IF(Dashboard!B4="Monthly",COUNTIFS(MedicalData[Time Period],A6,MedicalData[Month],Dashboard!E4),IF(Dashboard!B4="Quarterly",COUNTIFS(MedicalData[Time Period],A6,MedicalData[Quarter],Dashboard!K4),COUNTIF(MedicalData[Time Period],A6)))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IF(Dashboard!B4="Monthly",COUNTIFS(MedicalData[Time Period],A7,MedicalData[Month],Dashboard!E4),IF(Dashboard!B4="Quarterly",COUNTIFS(MedicalData[Time Period],A7,MedicalData[Quarter],Dashboard!K4),COUNTIF(MedicalData[Time Period],A7)))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2025-12-04T10:57:41Z</dcterms:modified>
  <cp:lastModifiedBy>stephen tapala</cp:lastModifiedBy>
</cp:coreProperties>
</file>